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90" windowWidth="11550" windowHeight="3195" tabRatio="636" firstSheet="22" activeTab="28"/>
  </bookViews>
  <sheets>
    <sheet name="Chris" sheetId="1" r:id="rId1"/>
    <sheet name="Dustin" sheetId="2" r:id="rId2"/>
    <sheet name="Zipper 6-13" sheetId="5" r:id="rId3"/>
    <sheet name="Zipper 6-18" sheetId="6" r:id="rId4"/>
    <sheet name="Zipper 6-25" sheetId="7" r:id="rId5"/>
    <sheet name="Zipper 7-2" sheetId="8" r:id="rId6"/>
    <sheet name="Zipper 7-9" sheetId="9" r:id="rId7"/>
    <sheet name="Zipper 7-16" sheetId="10" r:id="rId8"/>
    <sheet name="Zipper 7-23" sheetId="11" r:id="rId9"/>
    <sheet name="Zipper 7-30" sheetId="12" r:id="rId10"/>
    <sheet name="Zipper 8-6" sheetId="13" r:id="rId11"/>
    <sheet name="Zipper 8-13" sheetId="14" r:id="rId12"/>
    <sheet name="Zipper 8-20" sheetId="15" r:id="rId13"/>
    <sheet name="Zipper 8-27" sheetId="16" r:id="rId14"/>
    <sheet name="Zipper 9-3" sheetId="17" r:id="rId15"/>
    <sheet name="Sheet1" sheetId="18" r:id="rId16"/>
    <sheet name="Zipper 9-17" sheetId="19" r:id="rId17"/>
    <sheet name="Zipper 9-24" sheetId="20" r:id="rId18"/>
    <sheet name="Zipper 10-1" sheetId="21" r:id="rId19"/>
    <sheet name="Zipper 10-9" sheetId="22" r:id="rId20"/>
    <sheet name="Zipper 10-15" sheetId="23" r:id="rId21"/>
    <sheet name="Zipper 10-22" sheetId="24" r:id="rId22"/>
    <sheet name="Zipper 10-29" sheetId="26" r:id="rId23"/>
    <sheet name="Zipper 11-5" sheetId="28" r:id="rId24"/>
    <sheet name="Zipper 11-12" sheetId="29" r:id="rId25"/>
    <sheet name="Zipper 11-19" sheetId="30" r:id="rId26"/>
    <sheet name="Zipper 11-26" sheetId="31" r:id="rId27"/>
    <sheet name="Zipper 12-3" sheetId="32" r:id="rId28"/>
    <sheet name="Zipper 12-18" sheetId="33" r:id="rId29"/>
    <sheet name="Constant Repeats" sheetId="25" r:id="rId30"/>
  </sheets>
  <definedNames>
    <definedName name="_xlnm._FilterDatabase" localSheetId="0" hidden="1">Chris!$A$2:$F$80</definedName>
    <definedName name="_xlnm._FilterDatabase" localSheetId="1" hidden="1">Dustin!$A$1:$I$1</definedName>
    <definedName name="_xlnm._FilterDatabase" localSheetId="15" hidden="1">Sheet1!$A$1:$G$1</definedName>
    <definedName name="_xlnm._FilterDatabase" localSheetId="18" hidden="1">'Zipper 10-1'!$A$1:$H$45</definedName>
    <definedName name="_xlnm._FilterDatabase" localSheetId="20" hidden="1">'Zipper 10-15'!$A$1:$G$1</definedName>
    <definedName name="_xlnm._FilterDatabase" localSheetId="19" hidden="1">'Zipper 10-9'!$A$1:$G$1</definedName>
    <definedName name="_xlnm._FilterDatabase" localSheetId="28" hidden="1">'Zipper 12-18'!$A$1:$G$1</definedName>
    <definedName name="_xlnm._FilterDatabase" localSheetId="2" hidden="1">'Zipper 6-13'!$A$1:$E$43</definedName>
    <definedName name="_xlnm._FilterDatabase" localSheetId="3" hidden="1">'Zipper 6-18'!$A$1:$G$31</definedName>
    <definedName name="_xlnm._FilterDatabase" localSheetId="4" hidden="1">'Zipper 6-25'!$A$1:$F$42</definedName>
    <definedName name="_xlnm._FilterDatabase" localSheetId="7" hidden="1">'Zipper 7-16'!$A$1:$F$49</definedName>
    <definedName name="_xlnm._FilterDatabase" localSheetId="5" hidden="1">'Zipper 7-2'!$A$1:$F$46</definedName>
    <definedName name="_xlnm._FilterDatabase" localSheetId="8" hidden="1">'Zipper 7-23'!$A$1:$F$60</definedName>
    <definedName name="_xlnm._FilterDatabase" localSheetId="9" hidden="1">'Zipper 7-30'!$A$1:$F$1</definedName>
    <definedName name="_xlnm._FilterDatabase" localSheetId="6" hidden="1">'Zipper 7-9'!$A$1:$F$36</definedName>
    <definedName name="_xlnm._FilterDatabase" localSheetId="11" hidden="1">'Zipper 8-13'!$A$1:$G$1</definedName>
    <definedName name="_xlnm._FilterDatabase" localSheetId="12" hidden="1">'Zipper 8-20'!$A$1:$G$1</definedName>
    <definedName name="_xlnm._FilterDatabase" localSheetId="13" hidden="1">'Zipper 8-27'!$A$1:$G$1</definedName>
    <definedName name="_xlnm._FilterDatabase" localSheetId="10" hidden="1">'Zipper 8-6'!$A$1:$H$35</definedName>
    <definedName name="_xlnm._FilterDatabase" localSheetId="16" hidden="1">'Zipper 9-17'!$A$1:$G$1</definedName>
    <definedName name="_xlnm._FilterDatabase" localSheetId="17" hidden="1">'Zipper 9-24'!$A$1:$G$47</definedName>
    <definedName name="_xlnm._FilterDatabase" localSheetId="14" hidden="1">'Zipper 9-3'!$A$1:$G$1</definedName>
  </definedNames>
  <calcPr calcId="145621"/>
</workbook>
</file>

<file path=xl/calcChain.xml><?xml version="1.0" encoding="utf-8"?>
<calcChain xmlns="http://schemas.openxmlformats.org/spreadsheetml/2006/main">
  <c r="H3" i="21" l="1"/>
  <c r="H4" i="21"/>
  <c r="H39" i="21"/>
  <c r="H6" i="21"/>
  <c r="H7" i="21"/>
  <c r="H8" i="21"/>
  <c r="H9" i="21"/>
  <c r="H5" i="21"/>
  <c r="H10" i="21"/>
  <c r="H12" i="21"/>
  <c r="H13" i="21"/>
  <c r="H14" i="21"/>
  <c r="H15" i="21"/>
  <c r="H11" i="21"/>
  <c r="H17" i="21"/>
  <c r="H18" i="21"/>
  <c r="H19" i="21"/>
  <c r="H16" i="21"/>
  <c r="H21" i="21"/>
  <c r="H22" i="21"/>
  <c r="H23" i="21"/>
  <c r="H24" i="21"/>
  <c r="H20" i="21"/>
  <c r="H26" i="21"/>
  <c r="H27" i="21"/>
  <c r="H28" i="21"/>
  <c r="H29" i="21"/>
  <c r="H30" i="21"/>
  <c r="H25" i="21"/>
  <c r="H32" i="21"/>
  <c r="H33" i="21"/>
  <c r="H34" i="21"/>
  <c r="H35" i="21"/>
  <c r="H31" i="21"/>
  <c r="H36" i="21"/>
  <c r="H38" i="21"/>
  <c r="H37" i="21"/>
  <c r="H40" i="21"/>
  <c r="H41" i="21"/>
  <c r="H42" i="21"/>
  <c r="H43" i="21"/>
  <c r="H44" i="21"/>
  <c r="H45" i="21"/>
  <c r="H2" i="21"/>
  <c r="G26" i="14" l="1"/>
  <c r="G28" i="14"/>
  <c r="G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" i="14"/>
  <c r="F152" i="1"/>
  <c r="E152" i="1"/>
  <c r="E151" i="1"/>
  <c r="E150" i="1"/>
  <c r="F149" i="1"/>
  <c r="E149" i="1"/>
  <c r="G148" i="1"/>
  <c r="F148" i="1"/>
  <c r="E148" i="1"/>
  <c r="G147" i="1"/>
  <c r="F147" i="1"/>
  <c r="E147" i="1"/>
  <c r="E146" i="1"/>
  <c r="E145" i="1"/>
  <c r="E144" i="1"/>
  <c r="E143" i="1"/>
  <c r="G142" i="1"/>
  <c r="F142" i="1"/>
  <c r="E142" i="1"/>
  <c r="G141" i="1"/>
  <c r="F141" i="1"/>
  <c r="E141" i="1"/>
  <c r="E140" i="1"/>
  <c r="G139" i="1"/>
  <c r="F139" i="1"/>
  <c r="E139" i="1"/>
  <c r="G138" i="1"/>
  <c r="F138" i="1"/>
  <c r="E138" i="1"/>
  <c r="G137" i="1"/>
  <c r="F137" i="1"/>
  <c r="E137" i="1"/>
  <c r="E136" i="1"/>
  <c r="G135" i="1"/>
  <c r="F135" i="1"/>
  <c r="E135" i="1"/>
  <c r="G134" i="1"/>
  <c r="F134" i="1"/>
  <c r="E134" i="1"/>
  <c r="G133" i="1"/>
  <c r="F133" i="1"/>
  <c r="E133" i="1"/>
  <c r="G132" i="1"/>
  <c r="F132" i="1"/>
  <c r="E132" i="1"/>
  <c r="G131" i="1"/>
  <c r="F131" i="1"/>
  <c r="E131" i="1"/>
  <c r="G130" i="1"/>
  <c r="F130" i="1"/>
  <c r="E130" i="1"/>
  <c r="G129" i="1"/>
  <c r="F129" i="1"/>
  <c r="E129" i="1"/>
  <c r="G128" i="1"/>
  <c r="F128" i="1"/>
  <c r="E128" i="1"/>
  <c r="E127" i="1"/>
  <c r="E126" i="1"/>
  <c r="E125" i="1"/>
  <c r="E124" i="1"/>
  <c r="E123" i="1"/>
  <c r="G122" i="1"/>
  <c r="F122" i="1"/>
  <c r="E122" i="1"/>
  <c r="F121" i="1"/>
  <c r="E121" i="1"/>
  <c r="E120" i="1"/>
  <c r="E119" i="1"/>
  <c r="F4" i="13"/>
  <c r="F5" i="13"/>
  <c r="F11" i="13"/>
  <c r="F12" i="13"/>
  <c r="F13" i="13"/>
  <c r="F14" i="13"/>
  <c r="F15" i="13"/>
  <c r="F16" i="13"/>
  <c r="F17" i="13"/>
  <c r="F18" i="13"/>
  <c r="F20" i="13"/>
  <c r="F21" i="13"/>
  <c r="F22" i="13"/>
  <c r="F24" i="13"/>
  <c r="F25" i="13"/>
  <c r="F30" i="13"/>
  <c r="F31" i="13"/>
  <c r="F32" i="13"/>
  <c r="F35" i="13"/>
  <c r="G5" i="13"/>
  <c r="G3" i="14" s="1"/>
  <c r="G11" i="13"/>
  <c r="G12" i="13"/>
  <c r="G13" i="13"/>
  <c r="G14" i="13"/>
  <c r="G11" i="14"/>
  <c r="G15" i="13"/>
  <c r="G12" i="14" s="1"/>
  <c r="G16" i="13"/>
  <c r="G13" i="14"/>
  <c r="G17" i="13"/>
  <c r="G14" i="14" s="1"/>
  <c r="G18" i="13"/>
  <c r="G15" i="14" s="1"/>
  <c r="G20" i="13"/>
  <c r="G21" i="13"/>
  <c r="G22" i="13"/>
  <c r="G24" i="13"/>
  <c r="G17" i="14"/>
  <c r="G25" i="13"/>
  <c r="G18" i="14" s="1"/>
  <c r="G30" i="13"/>
  <c r="G24" i="14"/>
  <c r="G31" i="13"/>
  <c r="G25" i="14" s="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2" i="13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2" i="12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2" i="10"/>
  <c r="D3" i="9"/>
  <c r="D4" i="9"/>
  <c r="D5" i="9"/>
  <c r="D6" i="9"/>
  <c r="D7" i="9"/>
  <c r="D8" i="9"/>
  <c r="D9" i="9"/>
  <c r="D10" i="9"/>
  <c r="D11" i="9"/>
  <c r="D12" i="9"/>
  <c r="D13" i="9"/>
  <c r="D14" i="9"/>
  <c r="D15" i="9"/>
  <c r="D22" i="9"/>
  <c r="D17" i="9"/>
  <c r="D18" i="9"/>
  <c r="D23" i="9"/>
  <c r="D25" i="9"/>
  <c r="D26" i="9"/>
  <c r="D27" i="9"/>
  <c r="D28" i="9"/>
  <c r="D24" i="9"/>
  <c r="D16" i="9"/>
  <c r="D33" i="9"/>
  <c r="D34" i="9"/>
  <c r="D35" i="9"/>
  <c r="D29" i="9"/>
  <c r="D30" i="9"/>
  <c r="D31" i="9"/>
  <c r="D32" i="9"/>
  <c r="D19" i="9"/>
  <c r="D20" i="9"/>
  <c r="D36" i="9"/>
  <c r="D21" i="9"/>
  <c r="D2" i="9"/>
  <c r="D18" i="8"/>
  <c r="D19" i="8"/>
  <c r="D20" i="8"/>
  <c r="D21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2" i="5"/>
  <c r="D3" i="5"/>
  <c r="D4" i="5"/>
  <c r="D5" i="5"/>
  <c r="D6" i="5"/>
  <c r="D7" i="5"/>
  <c r="D8" i="5"/>
  <c r="D10" i="5"/>
  <c r="D15" i="5"/>
  <c r="D16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9" i="5"/>
  <c r="D11" i="5"/>
  <c r="D12" i="5"/>
  <c r="D13" i="5"/>
  <c r="D14" i="5"/>
  <c r="D17" i="5"/>
  <c r="D18" i="5"/>
  <c r="D19" i="5"/>
</calcChain>
</file>

<file path=xl/sharedStrings.xml><?xml version="1.0" encoding="utf-8"?>
<sst xmlns="http://schemas.openxmlformats.org/spreadsheetml/2006/main" count="7316" uniqueCount="1541">
  <si>
    <t xml:space="preserve">Zipper </t>
  </si>
  <si>
    <t>IP Address</t>
  </si>
  <si>
    <t>10.51.0.21</t>
  </si>
  <si>
    <t>10.51.5.9</t>
  </si>
  <si>
    <t>10.51.5.10</t>
  </si>
  <si>
    <t>10.52.128.60</t>
  </si>
  <si>
    <t>10.52.128.61</t>
  </si>
  <si>
    <t>10.52.128.67</t>
  </si>
  <si>
    <t>10.52.128.69</t>
  </si>
  <si>
    <t>10.52.133.58</t>
  </si>
  <si>
    <t>10.52.133.59</t>
  </si>
  <si>
    <t>10.52.133.60</t>
  </si>
  <si>
    <t>10.52.133.61</t>
  </si>
  <si>
    <t>10.52.133.66</t>
  </si>
  <si>
    <t>10.52.133.67</t>
  </si>
  <si>
    <t>10.52.133.68</t>
  </si>
  <si>
    <t>10.52.133.69</t>
  </si>
  <si>
    <t>10.206.19.107</t>
  </si>
  <si>
    <t>10.221.249.129</t>
  </si>
  <si>
    <t>10.221.249.216</t>
  </si>
  <si>
    <t>164.57.152.214</t>
  </si>
  <si>
    <t>192.168.250.129</t>
  </si>
  <si>
    <t>192.168.250.131</t>
  </si>
  <si>
    <t>10.51.5.129</t>
  </si>
  <si>
    <t>10.51.5.130</t>
  </si>
  <si>
    <t>10.52.130.98</t>
  </si>
  <si>
    <t>10.52.134.51</t>
  </si>
  <si>
    <t>10.52.142.57</t>
  </si>
  <si>
    <t>10.55.129.7</t>
  </si>
  <si>
    <t>10.59.176.75</t>
  </si>
  <si>
    <t>10.204.32.129</t>
  </si>
  <si>
    <t>10.204.64.96</t>
  </si>
  <si>
    <t>10.204.64.97</t>
  </si>
  <si>
    <t>10.204.64.100</t>
  </si>
  <si>
    <t>10.204.64.114</t>
  </si>
  <si>
    <t>10.204.64.115</t>
  </si>
  <si>
    <t>10.205.54.109</t>
  </si>
  <si>
    <t>10.213.28.97</t>
  </si>
  <si>
    <t>10.214.12.39</t>
  </si>
  <si>
    <t>10.215.31.40</t>
  </si>
  <si>
    <t>10.220.17.200</t>
  </si>
  <si>
    <t>10.221.240.94</t>
  </si>
  <si>
    <t>10.221.253.147</t>
  </si>
  <si>
    <t>10.221.254.152</t>
  </si>
  <si>
    <t>10.225.4.136</t>
  </si>
  <si>
    <t>10.226.45.37</t>
  </si>
  <si>
    <t>10.236.191.147</t>
  </si>
  <si>
    <t>163.231.16.2</t>
  </si>
  <si>
    <t>163.231.22.167</t>
  </si>
  <si>
    <t>163.231.29.167</t>
  </si>
  <si>
    <t>163.231.82.150</t>
  </si>
  <si>
    <t>163.231.82.151</t>
  </si>
  <si>
    <t>163.231.82.152</t>
  </si>
  <si>
    <t>163.231.83.1</t>
  </si>
  <si>
    <t>163.231.83.217</t>
  </si>
  <si>
    <t>163.231.99.40</t>
  </si>
  <si>
    <t>Hostname</t>
  </si>
  <si>
    <t>Details</t>
  </si>
  <si>
    <t>Does not respond to pings</t>
  </si>
  <si>
    <t>Listed SM Hostname - C671RBM</t>
  </si>
  <si>
    <t>Notes</t>
  </si>
  <si>
    <t xml:space="preserve">Second IP address 10.59.176.31 </t>
  </si>
  <si>
    <t>January 29th 2013 - Last ping</t>
  </si>
  <si>
    <t>Host not reachable</t>
  </si>
  <si>
    <t xml:space="preserve">No SM record. </t>
  </si>
  <si>
    <t>Responds to Ping</t>
  </si>
  <si>
    <t>No DNS Record</t>
  </si>
  <si>
    <t>Shutdown?</t>
  </si>
  <si>
    <t>Responds to ping</t>
  </si>
  <si>
    <t>IP address shows 10.52.184.15</t>
  </si>
  <si>
    <t>IP address shows 10.52.134.19</t>
  </si>
  <si>
    <t>The IP assignment for the following address does not match what DNS or ServiceManager says (since 030113):</t>
  </si>
  <si>
    <t>Both look fine?</t>
  </si>
  <si>
    <t>The IP assignment for the following address does not match what DNS or ServiceManager says (since 051313):</t>
  </si>
  <si>
    <t>The IP assignment for the following address does not match what DNS or ServiceManager says (since 021213):</t>
  </si>
  <si>
    <t>The IP assignment for the following address does not match what DNS or ServiceManager says (since 021113):</t>
  </si>
  <si>
    <t xml:space="preserve">Responds to ping </t>
  </si>
  <si>
    <t>IP address shows 10.205.67.25</t>
  </si>
  <si>
    <t xml:space="preserve">IP address shows 10.205.67.26  </t>
  </si>
  <si>
    <t>IP address shows 10.221.69.54</t>
  </si>
  <si>
    <t>IP address shows 167.68.64.3</t>
  </si>
  <si>
    <t>IP address shows 10.204.16.6</t>
  </si>
  <si>
    <t>Responds to Pings</t>
  </si>
  <si>
    <t>Responds to pings</t>
  </si>
  <si>
    <t>The IP assignment for the following address does not match what DNS or ServiceManager says (since 032513):</t>
  </si>
  <si>
    <t>Decommissioned</t>
  </si>
  <si>
    <t>Retired</t>
  </si>
  <si>
    <t>DNS record</t>
  </si>
  <si>
    <t>Does not respond to pings/Has DNS</t>
  </si>
  <si>
    <t>JoEllen DePalma</t>
  </si>
  <si>
    <t>Contact (BuildCenter)</t>
  </si>
  <si>
    <t>Jean M McMahon</t>
  </si>
  <si>
    <t>Chanda Nye</t>
  </si>
  <si>
    <t>Aftab Butt</t>
  </si>
  <si>
    <t>Kathy Nguyen</t>
  </si>
  <si>
    <t>Linda Huling</t>
  </si>
  <si>
    <t>Todd Burmaster</t>
  </si>
  <si>
    <t>Joellen Depalma</t>
  </si>
  <si>
    <t xml:space="preserve">P2V Decommission </t>
  </si>
  <si>
    <t>Start June 6</t>
  </si>
  <si>
    <t>Klarissa Mueller</t>
  </si>
  <si>
    <t>Peter Hynes</t>
  </si>
  <si>
    <t>Dan Bolwell</t>
  </si>
  <si>
    <t>Joy K Gonzalez</t>
  </si>
  <si>
    <t>Server Name</t>
  </si>
  <si>
    <t>jorenby's notes</t>
  </si>
  <si>
    <t>Zipper Error</t>
  </si>
  <si>
    <t>Decommission - Brief Description</t>
  </si>
  <si>
    <t>Status</t>
  </si>
  <si>
    <t>IP Address in Service Manager</t>
  </si>
  <si>
    <t>Possible Name</t>
  </si>
  <si>
    <t xml:space="preserve"> 10.51.5.129 </t>
  </si>
  <si>
    <t>c241ztuu2tmg1.erf.thomson.com</t>
  </si>
  <si>
    <t xml:space="preserve"> This IP's assignment information does not match DNS or ServiceManager (since 050313)</t>
  </si>
  <si>
    <t xml:space="preserve"> 10.51.5.130 </t>
  </si>
  <si>
    <t>c671ppvu2tmg2.erf.thomson.com</t>
  </si>
  <si>
    <t xml:space="preserve"> This IP's assignment information does not match DNS or ServiceManager (since 050913)</t>
  </si>
  <si>
    <t xml:space="preserve"> 10.52.130.98 </t>
  </si>
  <si>
    <t>C265EZJGRCSNP</t>
  </si>
  <si>
    <t xml:space="preserve"> Does not respond to ping (since 012913)</t>
  </si>
  <si>
    <t>DEPLOYED</t>
  </si>
  <si>
    <t>10.52.145.1</t>
  </si>
  <si>
    <t xml:space="preserve"> 10.52.134.51 </t>
  </si>
  <si>
    <t>C111UBRLHUB03</t>
  </si>
  <si>
    <t>10.52.134.19</t>
  </si>
  <si>
    <t xml:space="preserve"> 10.52.142.57 </t>
  </si>
  <si>
    <t>C828QPKQFS02</t>
  </si>
  <si>
    <t xml:space="preserve"> Does not respond to ping (since 021213)</t>
  </si>
  <si>
    <t>BUILD COMPLETE</t>
  </si>
  <si>
    <t>10.52.184.15</t>
  </si>
  <si>
    <t xml:space="preserve"> 10.55.129.7 </t>
  </si>
  <si>
    <t>c951jrx.mgmt.tlrg.com</t>
  </si>
  <si>
    <t xml:space="preserve"> This IP's assignment information does not match DNS or ServiceManager (since 030113)</t>
  </si>
  <si>
    <t xml:space="preserve"> 10.59.176.75 </t>
  </si>
  <si>
    <t>RA-C888UXQMPUB01</t>
  </si>
  <si>
    <t>IM4454689</t>
  </si>
  <si>
    <t xml:space="preserve"> Does not respond to ping (since 020513)</t>
  </si>
  <si>
    <t>10.51.5.17</t>
  </si>
  <si>
    <t>C888UXQMPUB01</t>
  </si>
  <si>
    <t xml:space="preserve"> 10.204.32.129 </t>
  </si>
  <si>
    <t>c696xvjtftta.tlr.thomson.com</t>
  </si>
  <si>
    <t xml:space="preserve"> This IP's assignment information does not match DNS or ServiceManager (since 051313)</t>
  </si>
  <si>
    <t>C696XVJTFTTA</t>
  </si>
  <si>
    <t xml:space="preserve"> 10.204.64.96 </t>
  </si>
  <si>
    <t>c221dyhegnd06.tlr.thomson.com</t>
  </si>
  <si>
    <t xml:space="preserve"> This IP's assignment information does not match DNS or ServiceManager (since 021213)</t>
  </si>
  <si>
    <t>C221DYHEGND06</t>
  </si>
  <si>
    <t xml:space="preserve"> 10.204.64.97 </t>
  </si>
  <si>
    <t>c494hqvegnd07.tlr.thomson.com</t>
  </si>
  <si>
    <t>C494HQVEGND07</t>
  </si>
  <si>
    <t xml:space="preserve"> 10.204.64.100 </t>
  </si>
  <si>
    <t>c290fscegnd10.tlr.thomson.com</t>
  </si>
  <si>
    <t xml:space="preserve"> This IP's assignment information does not match DNS or ServiceManager (since 021113)</t>
  </si>
  <si>
    <t>C290FSCEGND10</t>
  </si>
  <si>
    <t xml:space="preserve"> 10.204.64.114 </t>
  </si>
  <si>
    <t>c014mszgrdb2e</t>
  </si>
  <si>
    <t xml:space="preserve"> Does not respond to ping (since 011113)</t>
  </si>
  <si>
    <t>10.205.67.25</t>
  </si>
  <si>
    <t>C014MSZGRDB2E</t>
  </si>
  <si>
    <t xml:space="preserve"> 10.204.64.115 </t>
  </si>
  <si>
    <t>c329hbvgrdb2f</t>
  </si>
  <si>
    <t>10.205.67.26</t>
  </si>
  <si>
    <t>C329HBVGRDB2F</t>
  </si>
  <si>
    <t xml:space="preserve"> 10.205.54.109 </t>
  </si>
  <si>
    <t>EG-SCMECOM-A04</t>
  </si>
  <si>
    <t xml:space="preserve"> Does not respond to ping (since 012413)</t>
  </si>
  <si>
    <t>10.221.69.54</t>
  </si>
  <si>
    <t xml:space="preserve"> 10.213.28.97 </t>
  </si>
  <si>
    <t>EG-SSCOPE-H22</t>
  </si>
  <si>
    <t xml:space="preserve"> Does not respond to ping (since 020713)</t>
  </si>
  <si>
    <t>167.68.64.3</t>
  </si>
  <si>
    <t>eg-sscope-h22</t>
  </si>
  <si>
    <t xml:space="preserve"> 10.214.12.39 </t>
  </si>
  <si>
    <t>EG-DCEWEBQA-B01</t>
  </si>
  <si>
    <t>10.204.16.85</t>
  </si>
  <si>
    <t xml:space="preserve"> 10.215.31.40 </t>
  </si>
  <si>
    <t>c234qgj.ecom.tlrg.com</t>
  </si>
  <si>
    <t xml:space="preserve"> This IP's assignment information does not match DNS or ServiceManager (since 032513)</t>
  </si>
  <si>
    <t xml:space="preserve"> 10.220.17.200 </t>
  </si>
  <si>
    <t>eg-j3rsqldv-b03</t>
  </si>
  <si>
    <t xml:space="preserve"> Does not respond to ping (since 020413)</t>
  </si>
  <si>
    <t>CR0649162 - Decommission - BuildCenter: BCS10492 - EG-J3RSQLDV-B03 - Close Time:04/26/2013 08:50:36</t>
  </si>
  <si>
    <t>130426 - 1S88631SU99NV626 (EG-J3RSQLDV-B03)</t>
  </si>
  <si>
    <t xml:space="preserve"> 10.221.240.94 </t>
  </si>
  <si>
    <t>RA-EG-TFBSQL-B01</t>
  </si>
  <si>
    <t xml:space="preserve"> Does not respond to ping (since 020113)</t>
  </si>
  <si>
    <t>CR0619312 - Decommission - BuildCenter: BCS08950 - EG-TFBSQL-B01 - Close Time:02/12/2013 06:27:17</t>
  </si>
  <si>
    <t>130109 - Logical Image (eg-tfbsql-b01c)</t>
  </si>
  <si>
    <t xml:space="preserve"> 10.221.253.147 </t>
  </si>
  <si>
    <t>TLRUSMNEAGAPP07</t>
  </si>
  <si>
    <t xml:space="preserve"> Does not respond to ping (since 021413)</t>
  </si>
  <si>
    <t>CR0626151 - Decommission - BuildCenter: BCS10065 - TLRUSMNEAGAPP07 - Close Time:03/12/2013 04:23:03</t>
  </si>
  <si>
    <t>130312 - KPWNP68 (TLRUSMNEAGAPP07)</t>
  </si>
  <si>
    <t xml:space="preserve"> 10.221.254.152 </t>
  </si>
  <si>
    <t>EG-WEBAPP-A03</t>
  </si>
  <si>
    <t xml:space="preserve"> Does not respond to ping (since 010913)</t>
  </si>
  <si>
    <t>10.220.68.173</t>
  </si>
  <si>
    <t>eg-webapp-a03</t>
  </si>
  <si>
    <t xml:space="preserve"> 10.225.4.136 </t>
  </si>
  <si>
    <t>tss1vdev0104.tshhosting.com</t>
  </si>
  <si>
    <t xml:space="preserve"> Does not respond to ping (since 120712)</t>
  </si>
  <si>
    <t xml:space="preserve"> 10.226.45.37 </t>
  </si>
  <si>
    <t>tshielkcmgbld01-ilo</t>
  </si>
  <si>
    <t xml:space="preserve"> Does not respond to ping (since 111212)</t>
  </si>
  <si>
    <t xml:space="preserve"> 10.236.191.147 </t>
  </si>
  <si>
    <t>TSHUSMNEAGVIR03-OOB</t>
  </si>
  <si>
    <t xml:space="preserve"> Does not respond to ping (since 010413)</t>
  </si>
  <si>
    <t>CR0608313 - Decommission - BuildCenter: BCS08456 - TSHUSMNEAGVIR03 - Close Time:01/22/2013 10:48:32</t>
  </si>
  <si>
    <t>130109 - M00BNCZ154 (TSHUSMNEAGVIR03)</t>
  </si>
  <si>
    <t xml:space="preserve"> 163.231.16.2 </t>
  </si>
  <si>
    <t>tlrusmneagapp04</t>
  </si>
  <si>
    <t xml:space="preserve"> Does not respond to ping (since 021513)</t>
  </si>
  <si>
    <t>CR0623754 - Decommission - BuildCenter: BCS10065 - TLRUSMNEAGAPP04 - Close Time:03/03/2013 17:59:14</t>
  </si>
  <si>
    <t>130304 - 78AY646 (tlrusmneagapp04)</t>
  </si>
  <si>
    <t xml:space="preserve"> 163.231.22.167 </t>
  </si>
  <si>
    <t>tlrusmneagapp11</t>
  </si>
  <si>
    <t xml:space="preserve"> Does not respond to ping (since 012613)</t>
  </si>
  <si>
    <t>CR0627914 - Decommission - BuildCenter: BCS10065 - TLRUSMNEAGAPP11 - Close Time:03/13/2013 07:21:06</t>
  </si>
  <si>
    <t>130313 - 23A7363 (TLRUSMNEAGAPP11)</t>
  </si>
  <si>
    <t xml:space="preserve"> 163.231.29.167 </t>
  </si>
  <si>
    <t>eagh-erfpisa03</t>
  </si>
  <si>
    <t xml:space="preserve"> Does not respond to ping (since 120412)</t>
  </si>
  <si>
    <t>163.231.29.129</t>
  </si>
  <si>
    <t>EAGH-ERFPISA03</t>
  </si>
  <si>
    <t xml:space="preserve"> 163.231.82.150 </t>
  </si>
  <si>
    <t>EG-TFBSQL-B01C</t>
  </si>
  <si>
    <t>CR0608554 - Decommission - BuildCenter: BCS08950 - eg-tfbsql-b01c - Close Time:01/09/2013 06:02:18</t>
  </si>
  <si>
    <t xml:space="preserve"> 163.231.82.151 </t>
  </si>
  <si>
    <t>EG-TFBSQL-B01R</t>
  </si>
  <si>
    <t>CR0608553 - Decommission - BuildCenter: BCS08950 - eg-tfbsql-b01r - Close Time:01/09/2013 06:03:25</t>
  </si>
  <si>
    <t>130109 - Logical Image (eg-tfbsql-b01r)</t>
  </si>
  <si>
    <t xml:space="preserve"> 163.231.82.152 </t>
  </si>
  <si>
    <t>EG-TFBSQL-B01M</t>
  </si>
  <si>
    <t>CR0608555 - Decommission - BuildCenter: BCS08950 - eg-tfbsql-b01m - Close Time:01/09/2013 06:00:11</t>
  </si>
  <si>
    <t>130109 - Logical Image (eg-tfbsql-b01m)</t>
  </si>
  <si>
    <t xml:space="preserve"> 163.231.83.1 </t>
  </si>
  <si>
    <t>adobo.tfn.com</t>
  </si>
  <si>
    <t xml:space="preserve"> Does not respond to ping (since 011213)</t>
  </si>
  <si>
    <t>100104 - 1061D2F (ADOBO)</t>
  </si>
  <si>
    <t xml:space="preserve"> 163.231.83.217 </t>
  </si>
  <si>
    <t>pfsso.int.thomsonreuters.com</t>
  </si>
  <si>
    <t xml:space="preserve"> 163.231.99.40 </t>
  </si>
  <si>
    <t>koro</t>
  </si>
  <si>
    <t>163.231.99.199</t>
  </si>
  <si>
    <t xml:space="preserve"> 10.51.0.21 </t>
  </si>
  <si>
    <t>pvdr.int.thomsonreuters.com</t>
  </si>
  <si>
    <t xml:space="preserve"> This IP's assignment information does not match DNS or ServiceManager (since 050713)</t>
  </si>
  <si>
    <t xml:space="preserve"> 10.51.5.9 </t>
  </si>
  <si>
    <t>C888UXQU2PUB1</t>
  </si>
  <si>
    <t xml:space="preserve"> 10.51.5.10 </t>
  </si>
  <si>
    <t>C824XWEU2PUB3</t>
  </si>
  <si>
    <t xml:space="preserve"> 10.52.128.60 </t>
  </si>
  <si>
    <t>C111PESCSDBB1</t>
  </si>
  <si>
    <t xml:space="preserve"> 10.52.128.61 </t>
  </si>
  <si>
    <t>C111XZZOFDBB1</t>
  </si>
  <si>
    <t xml:space="preserve"> 10.52.128.67 </t>
  </si>
  <si>
    <t>C574KEXOFDBB2</t>
  </si>
  <si>
    <t xml:space="preserve"> 10.52.128.69 </t>
  </si>
  <si>
    <t>C613QFPCSDBB2</t>
  </si>
  <si>
    <t xml:space="preserve"> 10.52.133.58 </t>
  </si>
  <si>
    <t>c237mkh</t>
  </si>
  <si>
    <t>CR0650064 - Decommission - BuildCenter: BCS10889 - c237mkh - Close Time:04/29/2013 09:54:07</t>
  </si>
  <si>
    <t>130429 - Logical Image (c237mkh)</t>
  </si>
  <si>
    <t xml:space="preserve"> 10.52.133.59 </t>
  </si>
  <si>
    <t>c946wpw</t>
  </si>
  <si>
    <t>CR0650062 - Decommission - BuildCenter: BCS10889 - c946wpw - Close Time:04/29/2013 09:50:53</t>
  </si>
  <si>
    <t>130429 - Logical Image (c946wpw)</t>
  </si>
  <si>
    <t xml:space="preserve"> 10.52.133.60 </t>
  </si>
  <si>
    <t>c451utq</t>
  </si>
  <si>
    <t>CR0650061 - Decommission - BuildCenter: BCS10889 - c451utq - Close Time:04/29/2013 09:49:51</t>
  </si>
  <si>
    <t>130429 - Logical Image (c451utq)</t>
  </si>
  <si>
    <t xml:space="preserve"> 10.52.133.61 </t>
  </si>
  <si>
    <t>c662yxu</t>
  </si>
  <si>
    <t>CR0650063 - Decommission - BuildCenter: BCS10889 - c662yxu - Close Time:04/29/2013 09:52:00</t>
  </si>
  <si>
    <t>130429 - Logical Image (c662yxu)</t>
  </si>
  <si>
    <t xml:space="preserve"> 10.52.133.66 </t>
  </si>
  <si>
    <t>C582MCK</t>
  </si>
  <si>
    <t>10.52.128.66</t>
  </si>
  <si>
    <t xml:space="preserve"> 10.52.133.67 </t>
  </si>
  <si>
    <t xml:space="preserve"> 10.52.133.68 </t>
  </si>
  <si>
    <t>C268CUC</t>
  </si>
  <si>
    <t>10.52.128.68</t>
  </si>
  <si>
    <t xml:space="preserve"> 10.52.133.69 </t>
  </si>
  <si>
    <t xml:space="preserve"> 10.59.176.32 </t>
  </si>
  <si>
    <t xml:space="preserve"> 10.206.19.107 </t>
  </si>
  <si>
    <t>pvcluster.int.thomsonreuters.com</t>
  </si>
  <si>
    <t xml:space="preserve"> 10.221.249.129 </t>
  </si>
  <si>
    <t>RA-TLRUSMNEAGAPP06</t>
  </si>
  <si>
    <t>CR0623756 - Decommission - BuildCenter: BCS10065 - TLRUSMNEAGAPP06 - Close Time:03/03/2013 18:04:20</t>
  </si>
  <si>
    <t>130304 - KPWNP71 (TLRUSMNEAGAPP06)</t>
  </si>
  <si>
    <t xml:space="preserve"> 10.221.249.216 </t>
  </si>
  <si>
    <t>RA_TLRUSMNEAGAPP03</t>
  </si>
  <si>
    <t>CR0622121 - Decommission - BuildCenter: BCS10065 - TLRUSMNEAGAPP03 - Close Time:02/19/2013 06:37:28</t>
  </si>
  <si>
    <t>130305 - KPWNR37 (TLRUSMNEAGAPP03)</t>
  </si>
  <si>
    <t xml:space="preserve"> 164.57.152.214 </t>
  </si>
  <si>
    <t>EG-GRSAPP-A569</t>
  </si>
  <si>
    <t xml:space="preserve"> Does not respond to ping (since 011513)</t>
  </si>
  <si>
    <t>100310 - 1S8853L5U99P6028 (EG-GRSAPP-A569)</t>
  </si>
  <si>
    <t xml:space="preserve"> 192.168.250.129 </t>
  </si>
  <si>
    <t>tok1-dist1.tfn.com</t>
  </si>
  <si>
    <t xml:space="preserve"> This IP's assignment information does not match DNS or ServiceManager (since 113012)</t>
  </si>
  <si>
    <t xml:space="preserve"> 192.168.250.131 </t>
  </si>
  <si>
    <t>aujpjptokdaiwcp-a01.tfn.com</t>
  </si>
  <si>
    <t>IM/CR</t>
  </si>
  <si>
    <t>Michael Tyrrell</t>
  </si>
  <si>
    <t>adobo</t>
  </si>
  <si>
    <t>pfsso</t>
  </si>
  <si>
    <t>c241ztuu2tmg1</t>
  </si>
  <si>
    <t>c671ppvu2tmg2</t>
  </si>
  <si>
    <t xml:space="preserve">Server is UP! </t>
  </si>
  <si>
    <t>Recycled</t>
  </si>
  <si>
    <t>Recycled IP</t>
  </si>
  <si>
    <t>Does not respond to pings / New IP 163.231.29.129</t>
  </si>
  <si>
    <t>10.213.32.11</t>
  </si>
  <si>
    <t>10.226.9.89</t>
  </si>
  <si>
    <t>c290fscegnd10</t>
  </si>
  <si>
    <t>c494hqvegnd07</t>
  </si>
  <si>
    <t>aujpjptokdaiwcp-a01</t>
  </si>
  <si>
    <t>c221dyhegnd06</t>
  </si>
  <si>
    <t>c696xvjtftta</t>
  </si>
  <si>
    <t>c951jrx</t>
  </si>
  <si>
    <t>eg-sirappq-b04</t>
  </si>
  <si>
    <t>pvcluster</t>
  </si>
  <si>
    <t>pvdr</t>
  </si>
  <si>
    <t>tss1vdev0104</t>
  </si>
  <si>
    <t>Compared</t>
  </si>
  <si>
    <t>Does not respond to ping (since 012913)</t>
  </si>
  <si>
    <t>Does not respond to ping (since 011213)</t>
  </si>
  <si>
    <t>Does not respond to ping (since 022113)</t>
  </si>
  <si>
    <t>Does not respond to ping (since 011113)</t>
  </si>
  <si>
    <t>Does not respond to ping (since 111212)</t>
  </si>
  <si>
    <t>IPAddress</t>
  </si>
  <si>
    <t>Description</t>
  </si>
  <si>
    <t>This IP's assignment information does not match DNS or ServiceManager (since 113012)</t>
  </si>
  <si>
    <t xml:space="preserve">c014mszgrdb2e </t>
  </si>
  <si>
    <t xml:space="preserve">C111PESCSDBB1 </t>
  </si>
  <si>
    <t xml:space="preserve">C111UBRLHUB03 </t>
  </si>
  <si>
    <t xml:space="preserve">C111XZZOFDBB1 </t>
  </si>
  <si>
    <t xml:space="preserve">c221dyhegnd06 </t>
  </si>
  <si>
    <t>This IP's assignment information does not match DNS or ServiceManager (since 021213)</t>
  </si>
  <si>
    <t>c234qgj</t>
  </si>
  <si>
    <t>This IP's assignment information does not match DNS or ServiceManager (since 032513)</t>
  </si>
  <si>
    <t xml:space="preserve">c237mkh </t>
  </si>
  <si>
    <t>This IP's assignment information does not match DNS or ServiceManager (since 050313)</t>
  </si>
  <si>
    <t xml:space="preserve">C265EZJGRCSNP </t>
  </si>
  <si>
    <t xml:space="preserve">C268CUC </t>
  </si>
  <si>
    <t xml:space="preserve">c290fscegnd10 </t>
  </si>
  <si>
    <t>This IP's assignment information does not match DNS or ServiceManager (since 021113)</t>
  </si>
  <si>
    <t xml:space="preserve">c329hbvgrdb2f </t>
  </si>
  <si>
    <t xml:space="preserve">c400sccicapln </t>
  </si>
  <si>
    <t>This IP's assignment information does not match DNS or ServiceManager (since 060413)</t>
  </si>
  <si>
    <t xml:space="preserve">c451utq </t>
  </si>
  <si>
    <t xml:space="preserve">c494hqvegnd07 </t>
  </si>
  <si>
    <t xml:space="preserve">C574KEXOFDBB2 </t>
  </si>
  <si>
    <t xml:space="preserve">C582MCK </t>
  </si>
  <si>
    <t xml:space="preserve">C613QFPCSDBB2 </t>
  </si>
  <si>
    <t xml:space="preserve">c662yxu </t>
  </si>
  <si>
    <t>This IP's assignment information does not match DNS or ServiceManager (since 050913)</t>
  </si>
  <si>
    <t xml:space="preserve">c696xvjtftta </t>
  </si>
  <si>
    <t>This IP's assignment information does not match DNS or ServiceManager (since 051313)</t>
  </si>
  <si>
    <t xml:space="preserve">C828QPKQFS02 </t>
  </si>
  <si>
    <t>Does not respond to ping (since 021213)</t>
  </si>
  <si>
    <t xml:space="preserve">c946wpw </t>
  </si>
  <si>
    <t>This IP's assignment information does not match DNS or ServiceManager (since 060613)</t>
  </si>
  <si>
    <t xml:space="preserve">c951jrx.mgmt.tlrg.com </t>
  </si>
  <si>
    <t>This IP's assignment information does not match DNS or ServiceManager (since 030113)</t>
  </si>
  <si>
    <t xml:space="preserve">EG-DASYNC-A07 </t>
  </si>
  <si>
    <t>Does not respond to ping (since 030113)</t>
  </si>
  <si>
    <t xml:space="preserve">eg-sirappq-b04 </t>
  </si>
  <si>
    <t xml:space="preserve">EG-TAWEB-A04 </t>
  </si>
  <si>
    <t>Does not respond to ping (since 030213)</t>
  </si>
  <si>
    <t xml:space="preserve">EG-TAWEB-A06 </t>
  </si>
  <si>
    <t xml:space="preserve">koro </t>
  </si>
  <si>
    <t>Does not respond to ping (since 020413)</t>
  </si>
  <si>
    <t>This IP's assignment information does not match DNS or ServiceManager (since 050713)</t>
  </si>
  <si>
    <t xml:space="preserve">RA-C888UXQMPUB01 </t>
  </si>
  <si>
    <t>Does not respond to ping (since 020513)</t>
  </si>
  <si>
    <t xml:space="preserve">RA-EG-WCTSQLQA-B02 </t>
  </si>
  <si>
    <t>tok1-dist1</t>
  </si>
  <si>
    <t xml:space="preserve">tshielkcmgbld01-ilo </t>
  </si>
  <si>
    <t>Does not respond to ping (since 120712)</t>
  </si>
  <si>
    <t>This IP is apparently in use, but it has not been assigned (since 060413)</t>
  </si>
  <si>
    <t>10.216.64.3</t>
  </si>
  <si>
    <t>10.220.48.3</t>
  </si>
  <si>
    <t>10.221.254.98</t>
  </si>
  <si>
    <t>10.221.68.45</t>
  </si>
  <si>
    <t>10.226.9.144</t>
  </si>
  <si>
    <t>10.226.9.90</t>
  </si>
  <si>
    <t>IP now 163.231.98.1 (SM)</t>
  </si>
  <si>
    <t>IP now 10.216.19.64 (SM)</t>
  </si>
  <si>
    <t>IP now 10.220.42.28 (SM)</t>
  </si>
  <si>
    <t>IP now 10.215.34.201 (SM)</t>
  </si>
  <si>
    <t>C948DAQ</t>
  </si>
  <si>
    <t>CR0665011</t>
  </si>
  <si>
    <t>Contact Amanda mayers (BC)</t>
  </si>
  <si>
    <t>C111JEMICAPLN</t>
  </si>
  <si>
    <t>Action Taken</t>
  </si>
  <si>
    <t>Ongoing CR. Waiting to Recycle</t>
  </si>
  <si>
    <t>Recycled  IP</t>
  </si>
  <si>
    <t>Does not respond to ping (since 030413)</t>
  </si>
  <si>
    <t>Does not respond to ping (since 030613)</t>
  </si>
  <si>
    <t>This IP is apparently in use, but it has not been assigned (since 061113)</t>
  </si>
  <si>
    <t>This IP's assignment information does not match DNS or ServiceManager (since 061113)</t>
  </si>
  <si>
    <t>Does not respond to ping (since 030313)</t>
  </si>
  <si>
    <t>10.216.64.10</t>
  </si>
  <si>
    <t>EG-TAWEB-A05</t>
  </si>
  <si>
    <t>EG-TAWEB-A06</t>
  </si>
  <si>
    <t>10.221.68.49</t>
  </si>
  <si>
    <t>EG-TASQL-A04</t>
  </si>
  <si>
    <t>10.221.254.195</t>
  </si>
  <si>
    <t>EG-DASYNCQA-A06</t>
  </si>
  <si>
    <t>c400sccicapln.tlr.thomson.com</t>
  </si>
  <si>
    <t>C948DAO</t>
  </si>
  <si>
    <t>163.231.94.89</t>
  </si>
  <si>
    <t>eg-hdsadm-a04.int.westgroup.com</t>
  </si>
  <si>
    <t>BCS11407</t>
  </si>
  <si>
    <t>SM Shows C066FDTICAPLN</t>
  </si>
  <si>
    <t>Second Compare</t>
  </si>
  <si>
    <t>V2V NEW IP 10.216.19.65</t>
  </si>
  <si>
    <t>NEW IP 10.215.34.201</t>
  </si>
  <si>
    <t>NEW IP 10.215.34.202</t>
  </si>
  <si>
    <t>C066FDTICAPLN (SM)</t>
  </si>
  <si>
    <t>???</t>
  </si>
  <si>
    <t>EG-ELTVMDV-B12</t>
  </si>
  <si>
    <t>Does not respond to ping (since 031213)</t>
  </si>
  <si>
    <t>EG-ELTVMDV-B13</t>
  </si>
  <si>
    <t>eg-eltvmdv-b14</t>
  </si>
  <si>
    <t>eg-eltvmdv-b15</t>
  </si>
  <si>
    <t>EG-SWGADM-B01</t>
  </si>
  <si>
    <t>Does not respond to ping (since 031013)</t>
  </si>
  <si>
    <t>EG-SWGADM-A02</t>
  </si>
  <si>
    <t>Does not respond to ping (since 031113)</t>
  </si>
  <si>
    <t>C837PNSBLWEB</t>
  </si>
  <si>
    <t>Does not respond to ping (since 031513)</t>
  </si>
  <si>
    <t>10.220.20.141</t>
  </si>
  <si>
    <t>10.220.20.142</t>
  </si>
  <si>
    <t>10.220.20.143</t>
  </si>
  <si>
    <t>10.220.20.144</t>
  </si>
  <si>
    <t>10.221.64.115</t>
  </si>
  <si>
    <t>10.221.68.4</t>
  </si>
  <si>
    <t>10.226.50.195</t>
  </si>
  <si>
    <t>EG-TAWEB-A04</t>
  </si>
  <si>
    <t>RA-EG-WCTSQLQA-B02</t>
  </si>
  <si>
    <t>EG-DASYNC-A07</t>
  </si>
  <si>
    <t>c400sccicapln</t>
  </si>
  <si>
    <t>C066FDTICAPLN(SM)</t>
  </si>
  <si>
    <t>P2V</t>
  </si>
  <si>
    <t>VLAN Change</t>
  </si>
  <si>
    <t xml:space="preserve">CR0502751 </t>
  </si>
  <si>
    <t>CR0502751</t>
  </si>
  <si>
    <t>Does not respond to ping (since 031813)</t>
  </si>
  <si>
    <t>This IP's assignment information does not match DNS or ServiceManager (since 070113)</t>
  </si>
  <si>
    <t>This IP's assignment information does not match DNS or ServiceManager (since 062713)</t>
  </si>
  <si>
    <t>Does not respond to ping (since 032113)</t>
  </si>
  <si>
    <t>Does not respond to ping (since 031913)</t>
  </si>
  <si>
    <t>EG-TFSSQLD-B01</t>
  </si>
  <si>
    <t>EG-TFSSQL-A02</t>
  </si>
  <si>
    <t>eg-carstwb-a03</t>
  </si>
  <si>
    <t>EG-TASQL-B01</t>
  </si>
  <si>
    <t>c711tmecmgs01</t>
  </si>
  <si>
    <t>c720bvwcmgs01</t>
  </si>
  <si>
    <t>boardlinkdav-dev</t>
  </si>
  <si>
    <t>cubiscan-test</t>
  </si>
  <si>
    <t>Device Name shows C499WPR</t>
  </si>
  <si>
    <t>BAD HARDDRIVE</t>
  </si>
  <si>
    <t>DNS Changed in SM</t>
  </si>
  <si>
    <t>Two IP addresses BC07232</t>
  </si>
  <si>
    <t>BC07232</t>
  </si>
  <si>
    <t>Unix?</t>
  </si>
  <si>
    <t>IP addresses maps to eg-tlrdc-a14.tlr.thomson.com BCS07041</t>
  </si>
  <si>
    <t>No SM record.  BCS07041</t>
  </si>
  <si>
    <t>10.220.24.231</t>
  </si>
  <si>
    <t>10.220.94.42</t>
  </si>
  <si>
    <t>167.68.238.194</t>
  </si>
  <si>
    <t>167.68.238.195</t>
  </si>
  <si>
    <t>10.51.2.74</t>
  </si>
  <si>
    <t>10.52.142.43</t>
  </si>
  <si>
    <t>10.205.69.10</t>
  </si>
  <si>
    <t>10.206.16.214</t>
  </si>
  <si>
    <t>10.221.65.41</t>
  </si>
  <si>
    <t>DNS Changed SM</t>
  </si>
  <si>
    <t>BCS09309</t>
  </si>
  <si>
    <t>BCS09360</t>
  </si>
  <si>
    <t>Update DNS (SM)</t>
  </si>
  <si>
    <t>Moved</t>
  </si>
  <si>
    <t>No SM</t>
  </si>
  <si>
    <t>Shutdown? Can't find OOB</t>
  </si>
  <si>
    <t>IP addresses maps to eg-tlrdc-a14.tlr.thomson.com</t>
  </si>
  <si>
    <t>Two IP addresses</t>
  </si>
  <si>
    <t>IP Online</t>
  </si>
  <si>
    <t>IP Recycled?</t>
  </si>
  <si>
    <t>Does not respond to ping (since 032613)</t>
  </si>
  <si>
    <t>Does not respond to ping (since 032413)</t>
  </si>
  <si>
    <t>Does not respond to ping (since 032513)</t>
  </si>
  <si>
    <t>Does not respond to ping (since 032813)</t>
  </si>
  <si>
    <t>Does not respond to ping (since 032913)</t>
  </si>
  <si>
    <t>This IP's assignment information does not match DNS or ServiceManager (since 070613)</t>
  </si>
  <si>
    <t>This IP's assignment information does not match DNS or ServiceManager (since 070313)</t>
  </si>
  <si>
    <t>Does not respond to ping (since 032713)</t>
  </si>
  <si>
    <t>10.213.24.223</t>
  </si>
  <si>
    <t>10.213.24.224</t>
  </si>
  <si>
    <t>10.213.24.230</t>
  </si>
  <si>
    <t>10.213.24.231</t>
  </si>
  <si>
    <t>10.213.24.232</t>
  </si>
  <si>
    <t>10.51.5.18</t>
  </si>
  <si>
    <t>10.176.53.226</t>
  </si>
  <si>
    <t>10.204.66.48</t>
  </si>
  <si>
    <t>10.206.16.3</t>
  </si>
  <si>
    <t>10.220.30.41</t>
  </si>
  <si>
    <t>10.226.50.178</t>
  </si>
  <si>
    <t>10.226.50.179</t>
  </si>
  <si>
    <t>10.52.130.59</t>
  </si>
  <si>
    <t>10.52.130.61</t>
  </si>
  <si>
    <t>10.221.253.190</t>
  </si>
  <si>
    <t>ra-eg-gfrfts-h04</t>
  </si>
  <si>
    <t>ra-eg-gfrfts-h08</t>
  </si>
  <si>
    <t>ra-eg-gfrfts-h09</t>
  </si>
  <si>
    <t>ra-eg-gfrsql-h05</t>
  </si>
  <si>
    <t>ra-eg-gfrsql-h06</t>
  </si>
  <si>
    <t>c711tmecmgs01.ten.thomsonreuters.com</t>
  </si>
  <si>
    <t>C824XWEMPUB03</t>
  </si>
  <si>
    <t>c720bvwcmgs01.ten.thomsonreuters.com</t>
  </si>
  <si>
    <t>EG-J3RSQLQA-A01</t>
  </si>
  <si>
    <t>testserver14</t>
  </si>
  <si>
    <t>boardlinkdav-dev.accelus.com</t>
  </si>
  <si>
    <t>powerapp.int.westgroup.com</t>
  </si>
  <si>
    <t>cubiscan-test.int.westgroup.com</t>
  </si>
  <si>
    <t>EG-SIRLBQ-B02C</t>
  </si>
  <si>
    <t>boardlinkservices-qa.accelus.eu</t>
  </si>
  <si>
    <t>boardlinkdav-qa.accelus.eu</t>
  </si>
  <si>
    <t>C946WPW</t>
  </si>
  <si>
    <t>C662YXU</t>
  </si>
  <si>
    <t>Decommisssioned?</t>
  </si>
  <si>
    <t>Shows as 10.51.8.10</t>
  </si>
  <si>
    <t>Change DNS</t>
  </si>
  <si>
    <t>This IP's assignment information does not match DNS or ServiceManager (since 071413)</t>
  </si>
  <si>
    <t>This IP's assignment information does not match DNS or ServiceManager (since 071313)</t>
  </si>
  <si>
    <t>Does not respond to ping (since 040413)</t>
  </si>
  <si>
    <t>Does not respond to ping (since 040513)</t>
  </si>
  <si>
    <t>Does not respond to ping (since 040613)</t>
  </si>
  <si>
    <t>Does not respond to ping (since 040213)</t>
  </si>
  <si>
    <t>Does not respond to ping (since 040113)</t>
  </si>
  <si>
    <t>C239DYHEXOLP2</t>
  </si>
  <si>
    <t>C534JRVEXSQL2</t>
  </si>
  <si>
    <t>C111WFXEMBX73</t>
  </si>
  <si>
    <t>C382VBHAVNS01</t>
  </si>
  <si>
    <t>C531ZENAVNS02</t>
  </si>
  <si>
    <t>C701SMEAVOS01</t>
  </si>
  <si>
    <t>C111TVM</t>
  </si>
  <si>
    <t>N-C111VFSPMBS09</t>
  </si>
  <si>
    <t>N-C111XHUPMBS10</t>
  </si>
  <si>
    <t>C111DJWHMBX77</t>
  </si>
  <si>
    <t>RA-EG-CRMQA-B23</t>
  </si>
  <si>
    <t>c111vtv</t>
  </si>
  <si>
    <t>RA-EG-CRM-B25</t>
  </si>
  <si>
    <t>EAGE-ERFPMBS14</t>
  </si>
  <si>
    <t>EAGE-ERFPMBS04</t>
  </si>
  <si>
    <t>c111wfxembx73</t>
  </si>
  <si>
    <t>EAGE-ERFPMBS06</t>
  </si>
  <si>
    <t>C111VFSPMBS09</t>
  </si>
  <si>
    <t>C111XHUPMBS10</t>
  </si>
  <si>
    <t>C111DQHXBES20</t>
  </si>
  <si>
    <t>C111GRHXBES21</t>
  </si>
  <si>
    <t>Eg-Eltvmdv-B12</t>
  </si>
  <si>
    <t>eg-eltvmdv-b13</t>
  </si>
  <si>
    <t>Eg-Eltvmdv-B15</t>
  </si>
  <si>
    <t>EG-CTRX-B34</t>
  </si>
  <si>
    <t>10.51.1.10</t>
  </si>
  <si>
    <t>10.51.1.11</t>
  </si>
  <si>
    <t>10.51.8.80</t>
  </si>
  <si>
    <t>10.52.142.39</t>
  </si>
  <si>
    <t>10.52.142.40</t>
  </si>
  <si>
    <t>10.52.142.41</t>
  </si>
  <si>
    <t>10.205.50.25</t>
  </si>
  <si>
    <t>10.206.169.10</t>
  </si>
  <si>
    <t>10.206.169.11</t>
  </si>
  <si>
    <t>10.206.169.18</t>
  </si>
  <si>
    <t>10.220.51.144</t>
  </si>
  <si>
    <t>10.220.172.1</t>
  </si>
  <si>
    <t>10.221.250.97</t>
  </si>
  <si>
    <t>163.231.23.4</t>
  </si>
  <si>
    <t>163.231.23.35</t>
  </si>
  <si>
    <t>163.231.23.53</t>
  </si>
  <si>
    <t>163.231.23.68</t>
  </si>
  <si>
    <t>163.231.29.200</t>
  </si>
  <si>
    <t>163.231.29.204</t>
  </si>
  <si>
    <t>163.231.29.211</t>
  </si>
  <si>
    <t>163.231.31.136</t>
  </si>
  <si>
    <t>163.231.31.137</t>
  </si>
  <si>
    <t>10.221.241.206</t>
  </si>
  <si>
    <t>SM Record Not Correct</t>
  </si>
  <si>
    <t>Modified IP Address (SM)</t>
  </si>
  <si>
    <t>No SM Record</t>
  </si>
  <si>
    <t xml:space="preserve">Contact Windows Tcash </t>
  </si>
  <si>
    <t>New IP Address</t>
  </si>
  <si>
    <t>C111DUT / Melissa</t>
  </si>
  <si>
    <t>V2V</t>
  </si>
  <si>
    <t>Contact Nick Robbins - ReDeployed</t>
  </si>
  <si>
    <t>Contact Joe Bruns - Decommission</t>
  </si>
  <si>
    <t>Decommission</t>
  </si>
  <si>
    <t>Does not respond to ping (since 041213)</t>
  </si>
  <si>
    <t>Does not respond to ping (since 041113)</t>
  </si>
  <si>
    <t>Does not respond to ping (since 040713)</t>
  </si>
  <si>
    <t>This IP's assignment information does not match DNS or ServiceManager (since 071213)</t>
  </si>
  <si>
    <t>Does not respond to ping (since 040913)</t>
  </si>
  <si>
    <t>Does not respond to ping (since 040813)</t>
  </si>
  <si>
    <t>10.51.2.64</t>
  </si>
  <si>
    <t>C274CJPQADM01</t>
  </si>
  <si>
    <t>10.51.2.65</t>
  </si>
  <si>
    <t>C434FPTSQL02</t>
  </si>
  <si>
    <t>10.51.2.68</t>
  </si>
  <si>
    <t>c145dxravcm02</t>
  </si>
  <si>
    <t>10.51.2.69</t>
  </si>
  <si>
    <t>c332hbvavns02</t>
  </si>
  <si>
    <t>10.51.2.71</t>
  </si>
  <si>
    <t>c169nfhavos01</t>
  </si>
  <si>
    <t>10.51.2.86</t>
  </si>
  <si>
    <t>c064kcefsmo01</t>
  </si>
  <si>
    <t>10.51.2.88</t>
  </si>
  <si>
    <t>c506nfzprnt01</t>
  </si>
  <si>
    <t>10.51.2.90</t>
  </si>
  <si>
    <t>c212pgjtsad01</t>
  </si>
  <si>
    <t>10.51.2.92</t>
  </si>
  <si>
    <t>c048ntzqfs02</t>
  </si>
  <si>
    <t>10.51.2.95</t>
  </si>
  <si>
    <t>c087xejcmsql1</t>
  </si>
  <si>
    <t>10.52.142.42</t>
  </si>
  <si>
    <t>C187EYSAVOS02</t>
  </si>
  <si>
    <t>10.52.142.44</t>
  </si>
  <si>
    <t>C585YRTCMMP01</t>
  </si>
  <si>
    <t>10.52.142.45</t>
  </si>
  <si>
    <t>C916WRACMSC01</t>
  </si>
  <si>
    <t>10.52.142.46</t>
  </si>
  <si>
    <t>C225FZTCMSP01</t>
  </si>
  <si>
    <t>10.52.142.47</t>
  </si>
  <si>
    <t>C517HQVCMSP02</t>
  </si>
  <si>
    <t>10.52.142.51</t>
  </si>
  <si>
    <t>C161QWCNPS01</t>
  </si>
  <si>
    <t>10.52.142.52</t>
  </si>
  <si>
    <t>C222EZTPRNT01</t>
  </si>
  <si>
    <t>10.52.142.53</t>
  </si>
  <si>
    <t>C523WQSTSAD01</t>
  </si>
  <si>
    <t>10.52.142.54</t>
  </si>
  <si>
    <t>C911HQWWINS01</t>
  </si>
  <si>
    <t>10.52.142.55</t>
  </si>
  <si>
    <t>C304TZFQFS01</t>
  </si>
  <si>
    <t>10.52.142.56</t>
  </si>
  <si>
    <t>10.206.16.20</t>
  </si>
  <si>
    <t>rsgprod-test.int.westgroup.com</t>
  </si>
  <si>
    <t>10.206.169.14</t>
  </si>
  <si>
    <t>C111BNMHMBX57</t>
  </si>
  <si>
    <t>10.213.40.190</t>
  </si>
  <si>
    <t>RA-C111CYXEMBX53</t>
  </si>
  <si>
    <t>10.216.64.4</t>
  </si>
  <si>
    <t>EG-TAWEB-A03</t>
  </si>
  <si>
    <t>10.216.64.9</t>
  </si>
  <si>
    <t>EG-TAWEB-A02</t>
  </si>
  <si>
    <t>10.216.64.11</t>
  </si>
  <si>
    <t>eg-taweb-a02</t>
  </si>
  <si>
    <t>10.216.64.103</t>
  </si>
  <si>
    <t>10.221.253.182</t>
  </si>
  <si>
    <t>RA-EG-CRMQA-A22</t>
  </si>
  <si>
    <t>10.221.254.146</t>
  </si>
  <si>
    <t>EG-CRM-A24</t>
  </si>
  <si>
    <t>163.231.21.34</t>
  </si>
  <si>
    <t>C111EJEHBES20</t>
  </si>
  <si>
    <t>163.231.23.51</t>
  </si>
  <si>
    <t>c111cyxembx53</t>
  </si>
  <si>
    <t>163.231.29.209</t>
  </si>
  <si>
    <t>167.68.251.27</t>
  </si>
  <si>
    <t>eg-esmsql-a06</t>
  </si>
  <si>
    <t>10.220.48.140</t>
  </si>
  <si>
    <t>RA-EG-CRMSQLDV-B13</t>
  </si>
  <si>
    <t>10.221.253.123</t>
  </si>
  <si>
    <t>EG-CRMQA-A20</t>
  </si>
  <si>
    <t>New IP address</t>
  </si>
  <si>
    <t>Recycled IP Address</t>
  </si>
  <si>
    <t>IP address shows  10.51.5.84</t>
  </si>
  <si>
    <t>Windows TCASH</t>
  </si>
  <si>
    <t>New IP</t>
  </si>
  <si>
    <t>Device Name was not consistant</t>
  </si>
  <si>
    <t>Changed Device Name banana</t>
  </si>
  <si>
    <t>Recycled IP?</t>
  </si>
  <si>
    <t>Chad Brochill</t>
  </si>
  <si>
    <t>EMAT</t>
  </si>
  <si>
    <t>Does not respond to ping (since 041713)</t>
  </si>
  <si>
    <t>Does not respond to ping (since 041613)</t>
  </si>
  <si>
    <t>This IP's assignment information does not match DNS or ServiceManager (since 072613)</t>
  </si>
  <si>
    <t>This IP is apparently in use, but it has not been assigned (since 072213)</t>
  </si>
  <si>
    <t>Does not respond to ping (since 042013)</t>
  </si>
  <si>
    <t>10.213.24.221</t>
  </si>
  <si>
    <t>10.213.24.222</t>
  </si>
  <si>
    <t>10.213.24.226</t>
  </si>
  <si>
    <t>10.213.24.227</t>
  </si>
  <si>
    <t>10.51.7.27</t>
  </si>
  <si>
    <t>10.51.7.28</t>
  </si>
  <si>
    <t>10.51.7.29</t>
  </si>
  <si>
    <t>10.52.128.54</t>
  </si>
  <si>
    <t>10.52.128.64</t>
  </si>
  <si>
    <t>10.52.128.65</t>
  </si>
  <si>
    <t>10.52.133.64</t>
  </si>
  <si>
    <t>10.52.133.65</t>
  </si>
  <si>
    <t>10.51.2.66</t>
  </si>
  <si>
    <t>10.51.2.67</t>
  </si>
  <si>
    <t>10.51.2.70</t>
  </si>
  <si>
    <t>10.51.2.72</t>
  </si>
  <si>
    <t>10.51.2.73</t>
  </si>
  <si>
    <t>10.51.2.75</t>
  </si>
  <si>
    <t>10.51.2.76</t>
  </si>
  <si>
    <t>10.51.2.77</t>
  </si>
  <si>
    <t>10.51.2.78</t>
  </si>
  <si>
    <t>10.51.2.79</t>
  </si>
  <si>
    <t>10.51.2.80</t>
  </si>
  <si>
    <t>10.51.2.87</t>
  </si>
  <si>
    <t>10.51.2.89</t>
  </si>
  <si>
    <t>10.51.2.91</t>
  </si>
  <si>
    <t>10.51.2.93</t>
  </si>
  <si>
    <t>10.51.2.94</t>
  </si>
  <si>
    <t>10.51.2.100</t>
  </si>
  <si>
    <t>10.176.6.225</t>
  </si>
  <si>
    <t>10.176.6.226</t>
  </si>
  <si>
    <t>10.176.6.227</t>
  </si>
  <si>
    <t>10.176.6.228</t>
  </si>
  <si>
    <t>10.176.6.229</t>
  </si>
  <si>
    <t>10.176.6.230</t>
  </si>
  <si>
    <t>10.176.6.231</t>
  </si>
  <si>
    <t>10.176.6.232</t>
  </si>
  <si>
    <t>10.176.6.233</t>
  </si>
  <si>
    <t>10.176.6.234</t>
  </si>
  <si>
    <t>10.176.6.235</t>
  </si>
  <si>
    <t>10.176.6.242</t>
  </si>
  <si>
    <t>10.176.6.243</t>
  </si>
  <si>
    <t>10.176.6.244</t>
  </si>
  <si>
    <t>10.176.6.245</t>
  </si>
  <si>
    <t>10.176.6.246</t>
  </si>
  <si>
    <t>10.176.6.247</t>
  </si>
  <si>
    <t>10.176.6.248</t>
  </si>
  <si>
    <t>10.176.6.249</t>
  </si>
  <si>
    <t>10.206.169.8</t>
  </si>
  <si>
    <t>10.206.169.9</t>
  </si>
  <si>
    <t>163.231.31.1</t>
  </si>
  <si>
    <t>163.231.31.3</t>
  </si>
  <si>
    <t>163.231.31.4</t>
  </si>
  <si>
    <t>163.231.31.6</t>
  </si>
  <si>
    <t>163.231.31.7</t>
  </si>
  <si>
    <t>163.231.31.8</t>
  </si>
  <si>
    <t>163.231.31.9</t>
  </si>
  <si>
    <t>163.231.31.10</t>
  </si>
  <si>
    <t>163.231.31.15</t>
  </si>
  <si>
    <t>163.231.31.16</t>
  </si>
  <si>
    <t>163.231.31.17</t>
  </si>
  <si>
    <t>163.231.31.33</t>
  </si>
  <si>
    <t>163.231.31.34</t>
  </si>
  <si>
    <t>163.231.31.35</t>
  </si>
  <si>
    <t>163.231.31.36</t>
  </si>
  <si>
    <t>163.231.31.37</t>
  </si>
  <si>
    <t>163.231.31.38</t>
  </si>
  <si>
    <t>163.231.31.39</t>
  </si>
  <si>
    <t>163.231.31.44</t>
  </si>
  <si>
    <t>163.231.31.45</t>
  </si>
  <si>
    <t>163.231.31.46</t>
  </si>
  <si>
    <t>163.231.31.47</t>
  </si>
  <si>
    <t>163.231.31.48</t>
  </si>
  <si>
    <t>163.231.31.49</t>
  </si>
  <si>
    <t>163.231.31.65</t>
  </si>
  <si>
    <t>163.231.31.67</t>
  </si>
  <si>
    <t>163.231.31.68</t>
  </si>
  <si>
    <t>163.231.31.69</t>
  </si>
  <si>
    <t>163.231.31.74</t>
  </si>
  <si>
    <t>163.231.31.75</t>
  </si>
  <si>
    <t>163.231.99.17</t>
  </si>
  <si>
    <t>167.68.65.21</t>
  </si>
  <si>
    <t>ra-eg-gfrsql-h01</t>
  </si>
  <si>
    <t>ra-eg-gfrsql-h02</t>
  </si>
  <si>
    <t>ra-eg-gfrsql-h03</t>
  </si>
  <si>
    <t>ra-eg-gfrsql-h04</t>
  </si>
  <si>
    <t>stargazerc1.tlr.thomson.com</t>
  </si>
  <si>
    <t>stargazerc2.tlr.thomson.com</t>
  </si>
  <si>
    <t>stargazerc3.tlr.thomson.com</t>
  </si>
  <si>
    <t>C111CRW</t>
  </si>
  <si>
    <t>C734TJS</t>
  </si>
  <si>
    <t>C654TPJ</t>
  </si>
  <si>
    <t>c925wraavcm01</t>
  </si>
  <si>
    <t>c932yskavcm03</t>
  </si>
  <si>
    <t>c995ksyavns01</t>
  </si>
  <si>
    <t>c276rhkavos02</t>
  </si>
  <si>
    <t>c602qjcavos02</t>
  </si>
  <si>
    <t>c693auwcmmp01</t>
  </si>
  <si>
    <t>c900xrjcmpp01</t>
  </si>
  <si>
    <t>c136megcmpr01</t>
  </si>
  <si>
    <t>c294gaucmsp01</t>
  </si>
  <si>
    <t>c630bgqcmsp02</t>
  </si>
  <si>
    <t>c562jswcmup01</t>
  </si>
  <si>
    <t>c697auwnps01</t>
  </si>
  <si>
    <t>c601jheqfs01</t>
  </si>
  <si>
    <t>c809rxcwins01</t>
  </si>
  <si>
    <t>c398wbhsql04</t>
  </si>
  <si>
    <t>c547zfnsql01</t>
  </si>
  <si>
    <t>C870SZDCMGW01</t>
  </si>
  <si>
    <t>EAGF-ERFPMBX44</t>
  </si>
  <si>
    <t>EAGF-ERFPMBX22</t>
  </si>
  <si>
    <t>EAGF-ERFPMBX23</t>
  </si>
  <si>
    <t>EAGF-ERFPMBX24</t>
  </si>
  <si>
    <t>EAGF-ERFPMBX42</t>
  </si>
  <si>
    <t>EAGF-ERFPMBX43</t>
  </si>
  <si>
    <t>EAGF-ERFPMBS03</t>
  </si>
  <si>
    <t>EAGF-ERFPMBS05</t>
  </si>
  <si>
    <t>EAGF-ERFPMBS07</t>
  </si>
  <si>
    <t>EAGF-ERFPMBS11</t>
  </si>
  <si>
    <t>EAGF-ERFPMBS13</t>
  </si>
  <si>
    <t>C111QAZXMBX58</t>
  </si>
  <si>
    <t>C111NYXXMBX60</t>
  </si>
  <si>
    <t>C111DJHXMBX80</t>
  </si>
  <si>
    <t>C111ZHAXMBX79</t>
  </si>
  <si>
    <t>C111RZRXMBX59</t>
  </si>
  <si>
    <t>C111MNVXMBX61</t>
  </si>
  <si>
    <t>C111VNRXMBX78</t>
  </si>
  <si>
    <t>C111XDCXMBX81</t>
  </si>
  <si>
    <t>N-C111CQUPMBS01</t>
  </si>
  <si>
    <t>N-C111JSRPMBS02</t>
  </si>
  <si>
    <t>EAGF-ERFPCAS05</t>
  </si>
  <si>
    <t>TLRUSMNEAGCAS01</t>
  </si>
  <si>
    <t>EAGF-ERFPHUB13</t>
  </si>
  <si>
    <t>EAGF-ERFPPUB01</t>
  </si>
  <si>
    <t>C111CSRXCAS20</t>
  </si>
  <si>
    <t>EAGF-ERFPCAS13</t>
  </si>
  <si>
    <t>TLRUSMNEAGHUB01</t>
  </si>
  <si>
    <t>EAGF-ERFPPUB03</t>
  </si>
  <si>
    <t>C111TZMXCAS17</t>
  </si>
  <si>
    <t>C111VCKHUB17</t>
  </si>
  <si>
    <t>EAGF-ERFPCAS07</t>
  </si>
  <si>
    <t>eg-emcadm-a01</t>
  </si>
  <si>
    <t>eg-hdsadm-h01.int.westgroup.net</t>
  </si>
  <si>
    <t>Renamed</t>
  </si>
  <si>
    <t>No Information within Banana</t>
  </si>
  <si>
    <t>Modified Banana record</t>
  </si>
  <si>
    <t>Server Moved - New IP</t>
  </si>
  <si>
    <t>Mike Schmidt</t>
  </si>
  <si>
    <t>No Action Taken</t>
  </si>
  <si>
    <t>Contacted ITS-MDS-DIR</t>
  </si>
  <si>
    <t>Forwarded to Gerald Beasley</t>
  </si>
  <si>
    <t>Does not respond to ping (since 042413)</t>
  </si>
  <si>
    <t>This IP's assignment information does not match DNS or ServiceManager (since 073013)</t>
  </si>
  <si>
    <t>This IP's ServiceManager entry does not match the ServiceManager entry corresponding to the DNS name (since 080413)</t>
  </si>
  <si>
    <t>10.221.240.248</t>
  </si>
  <si>
    <t>TLRUSMNEAGSQL1</t>
  </si>
  <si>
    <t>10.221.241.246</t>
  </si>
  <si>
    <t>TLRUSMNEAGQSP1</t>
  </si>
  <si>
    <t>10.51.2.101</t>
  </si>
  <si>
    <t>c958gactfws04</t>
  </si>
  <si>
    <t>10.51.2.102</t>
  </si>
  <si>
    <t>c323cbytfws03</t>
  </si>
  <si>
    <t>10.51.2.103</t>
  </si>
  <si>
    <t>c801ueqtfau04</t>
  </si>
  <si>
    <t>10.51.2.104</t>
  </si>
  <si>
    <t>c673mkgtfau03</t>
  </si>
  <si>
    <t>10.51.2.105</t>
  </si>
  <si>
    <t>C595AGPMSQL03</t>
  </si>
  <si>
    <t>10.221.249.201</t>
  </si>
  <si>
    <t>EG-CPMSQL-B02</t>
  </si>
  <si>
    <t>c239dyhexolp2.tlr.thomsonreuters.com</t>
  </si>
  <si>
    <t>10.176.10.105</t>
  </si>
  <si>
    <t>eg-dbasql-a20.tlr.thomson.com</t>
  </si>
  <si>
    <t>Server Moved</t>
  </si>
  <si>
    <t xml:space="preserve">Gerald Basley. </t>
  </si>
  <si>
    <t>OOO until 8-8</t>
  </si>
  <si>
    <t>IPV4Address</t>
  </si>
  <si>
    <t>10.51.52.40</t>
  </si>
  <si>
    <t>10.51.52.36</t>
  </si>
  <si>
    <t>10.51.52.39</t>
  </si>
  <si>
    <t>10.51.52.38</t>
  </si>
  <si>
    <t>10.51.52.37</t>
  </si>
  <si>
    <t>10.51.8.22</t>
  </si>
  <si>
    <t>10.52.184.6</t>
  </si>
  <si>
    <t>10.51.8.7</t>
  </si>
  <si>
    <t>This IP's assignment information does not match DNS or ServiceManager (since 080813)</t>
  </si>
  <si>
    <t>Does not respond to ping (since 050313)</t>
  </si>
  <si>
    <t>This IP is apparently in use, but it has not been assigned (since 081113)</t>
  </si>
  <si>
    <t>10.176.15.74</t>
  </si>
  <si>
    <t>10.176.15.75</t>
  </si>
  <si>
    <t>10.213.32.183</t>
  </si>
  <si>
    <t>C968UJP</t>
  </si>
  <si>
    <t>C827CPP</t>
  </si>
  <si>
    <t>tss1be0075-ilo.tshhosting.com</t>
  </si>
  <si>
    <t>eg-sirlbq-b02c.tlr.thomson.com</t>
  </si>
  <si>
    <t>Added Server info to Banana</t>
  </si>
  <si>
    <t>eg-hdsadm-a04</t>
  </si>
  <si>
    <t>Given IP Address</t>
  </si>
  <si>
    <t>Given Hostname</t>
  </si>
  <si>
    <t>Computer Name</t>
  </si>
  <si>
    <t xml:space="preserve">192.168.250.131 </t>
  </si>
  <si>
    <t xml:space="preserve"> </t>
  </si>
  <si>
    <t xml:space="preserve">10.51.0.21 </t>
  </si>
  <si>
    <t xml:space="preserve">10.176.15.74 </t>
  </si>
  <si>
    <t>c312sbkcpasqf.ecom.tlrg.com</t>
  </si>
  <si>
    <t xml:space="preserve">10.176.15.75 </t>
  </si>
  <si>
    <t>c243pyzcpasqf.ecom.tlrg.com</t>
  </si>
  <si>
    <t xml:space="preserve">10.206.19.107 </t>
  </si>
  <si>
    <t xml:space="preserve">10.220.20.141 </t>
  </si>
  <si>
    <t xml:space="preserve">10.220.20.142 </t>
  </si>
  <si>
    <t xml:space="preserve">10.220.20.143 </t>
  </si>
  <si>
    <t xml:space="preserve">10.220.20.144 </t>
  </si>
  <si>
    <t xml:space="preserve">10.204.16.60 </t>
  </si>
  <si>
    <t>EG-SPSWEBDV-B02</t>
  </si>
  <si>
    <t>10.204.16.28</t>
  </si>
  <si>
    <t xml:space="preserve">10.206.16.3 </t>
  </si>
  <si>
    <t xml:space="preserve">10.206.16.20 </t>
  </si>
  <si>
    <t xml:space="preserve">10.220.30.41 </t>
  </si>
  <si>
    <t xml:space="preserve">10.225.4.136 </t>
  </si>
  <si>
    <t xml:space="preserve">10.226.50.178 </t>
  </si>
  <si>
    <t xml:space="preserve">10.226.50.179 </t>
  </si>
  <si>
    <t xml:space="preserve">163.231.83.217 </t>
  </si>
  <si>
    <t xml:space="preserve">163.231.94.89 </t>
  </si>
  <si>
    <t xml:space="preserve">167.68.251.27 </t>
  </si>
  <si>
    <t xml:space="preserve"> This IP's assignment information does not match DNS or ServiceManager (since 080813)</t>
  </si>
  <si>
    <t xml:space="preserve"> Does not respond to ping (since 031213)</t>
  </si>
  <si>
    <t xml:space="preserve"> Does not respond to ping (since 050813)</t>
  </si>
  <si>
    <t xml:space="preserve"> This IP's assignment information does not match DNS or ServiceManager (since 070613)</t>
  </si>
  <si>
    <t xml:space="preserve"> This IP's assignment information does not match DNS or ServiceManager (since 071213)</t>
  </si>
  <si>
    <t xml:space="preserve"> This IP's assignment information does not match DNS or ServiceManager (since 081413)</t>
  </si>
  <si>
    <t xml:space="preserve"> This IP's assignment information does not match DNS or ServiceManager (since 070313)</t>
  </si>
  <si>
    <t xml:space="preserve"> Does not respond to ping (since 030313)</t>
  </si>
  <si>
    <t xml:space="preserve"> Does not respond to ping (since 040913)</t>
  </si>
  <si>
    <t>Shown as C968UJP</t>
  </si>
  <si>
    <t>Changed Info in Banana</t>
  </si>
  <si>
    <t>Shown as C827CPP</t>
  </si>
  <si>
    <t>Modified SM Record</t>
  </si>
  <si>
    <t>Ownership now Platform-Infrastructure</t>
  </si>
  <si>
    <t>Modified Banana Record</t>
  </si>
  <si>
    <t>Melissa Gulbranson</t>
  </si>
  <si>
    <t>No Longer Needed</t>
  </si>
  <si>
    <t xml:space="preserve">10.176.11.76 </t>
  </si>
  <si>
    <t>C297EYVSIRLBP</t>
  </si>
  <si>
    <t xml:space="preserve"> Does not respond to ping (since 051413)</t>
  </si>
  <si>
    <t>10.176.10.127</t>
  </si>
  <si>
    <t xml:space="preserve">10.205.54.80 </t>
  </si>
  <si>
    <t>eg-cplsqlqa-a03</t>
  </si>
  <si>
    <t xml:space="preserve"> Does not respond to ping (since 051313)</t>
  </si>
  <si>
    <t xml:space="preserve">10.226.128.214 </t>
  </si>
  <si>
    <t>10.226.65.239</t>
  </si>
  <si>
    <t xml:space="preserve"> Does not respond to ping (since 062412)</t>
  </si>
  <si>
    <t xml:space="preserve">167.68.249.119 </t>
  </si>
  <si>
    <t>C111DBE</t>
  </si>
  <si>
    <t>10.176.4.20</t>
  </si>
  <si>
    <t xml:space="preserve">10.201.39.93 </t>
  </si>
  <si>
    <t>eg-batxml-a01r.clrrs.loc</t>
  </si>
  <si>
    <t>Updated SM</t>
  </si>
  <si>
    <t>No data in SM record</t>
  </si>
  <si>
    <t xml:space="preserve"> This IP's assignment information does not match DNS or ServiceManager (since 082913)</t>
  </si>
  <si>
    <t>c111ryg.mgmt.tlrg.com</t>
  </si>
  <si>
    <t xml:space="preserve">167.68.250.163 </t>
  </si>
  <si>
    <t xml:space="preserve"> Does not respond to ping (since 052313)</t>
  </si>
  <si>
    <t>EG-WGSAPPQA-A01</t>
  </si>
  <si>
    <t xml:space="preserve">10.221.69.20 </t>
  </si>
  <si>
    <t xml:space="preserve"> Does not respond to ping (since 051913)</t>
  </si>
  <si>
    <t>EG-WGSAPPQA-B01</t>
  </si>
  <si>
    <t xml:space="preserve">10.221.64.219 </t>
  </si>
  <si>
    <t xml:space="preserve"> This IP's ServiceManager entry does not match the ServiceManager entry corresponding to the DNS name (since 083013)</t>
  </si>
  <si>
    <t>10.205.40.147</t>
  </si>
  <si>
    <t>EG-SPSWEB-A03</t>
  </si>
  <si>
    <t xml:space="preserve"> Does not respond to ping (since 052413)</t>
  </si>
  <si>
    <t xml:space="preserve">10.205.17.39 </t>
  </si>
  <si>
    <t>10.205.40.144</t>
  </si>
  <si>
    <t>EG-SPSWEB-A02</t>
  </si>
  <si>
    <t xml:space="preserve">10.205.17.38 </t>
  </si>
  <si>
    <t>10.205.40.67</t>
  </si>
  <si>
    <t>EG-SPSWEB-A01</t>
  </si>
  <si>
    <t xml:space="preserve"> Does not respond to ping (since 052213)</t>
  </si>
  <si>
    <t xml:space="preserve">10.205.17.37 </t>
  </si>
  <si>
    <t xml:space="preserve">10.176.8.251 </t>
  </si>
  <si>
    <t>c111zcj.tlr.thomson.com</t>
  </si>
  <si>
    <t xml:space="preserve"> Does not respond to ping (since 121412)</t>
  </si>
  <si>
    <t xml:space="preserve">10.185.3.8 </t>
  </si>
  <si>
    <t>eccrg.mgmt.tlrg.com</t>
  </si>
  <si>
    <t xml:space="preserve"> This IP's assignment information does not match DNS or ServiceManager (since 062713)</t>
  </si>
  <si>
    <t>10.185.3.8</t>
  </si>
  <si>
    <t xml:space="preserve">10.214.3.55 </t>
  </si>
  <si>
    <t>EG-WRCSQL-B44R</t>
  </si>
  <si>
    <t xml:space="preserve">10.214.3.56 </t>
  </si>
  <si>
    <t>EG-WRCSQL-B44M</t>
  </si>
  <si>
    <t xml:space="preserve">10.215.11.91 </t>
  </si>
  <si>
    <t>EG-WRCSQL-A34M</t>
  </si>
  <si>
    <t xml:space="preserve"> Does not respond to ping (since 042113)</t>
  </si>
  <si>
    <t xml:space="preserve">10.215.11.95 </t>
  </si>
  <si>
    <t>EG-WRCSQL-A34R</t>
  </si>
  <si>
    <t xml:space="preserve">10.216.64.37 </t>
  </si>
  <si>
    <t>EG-WGSAPP-A01</t>
  </si>
  <si>
    <t xml:space="preserve"> Does not respond to ping (since 052613)</t>
  </si>
  <si>
    <t>10.216.19.50</t>
  </si>
  <si>
    <t xml:space="preserve">10.216.64.38 </t>
  </si>
  <si>
    <t>EG-WGSAPP-A02</t>
  </si>
  <si>
    <t xml:space="preserve"> Does not respond to ping (since 053113)</t>
  </si>
  <si>
    <t>10.216.19.101</t>
  </si>
  <si>
    <t xml:space="preserve">10.219.10.21 </t>
  </si>
  <si>
    <t>LSD-BLADE01</t>
  </si>
  <si>
    <t xml:space="preserve"> This IP's assignment information does not match DNS or ServiceManager (since 090413)</t>
  </si>
  <si>
    <t xml:space="preserve">10.220.176.137 </t>
  </si>
  <si>
    <t>orf-antclu-02.tlrqa.thomson.com</t>
  </si>
  <si>
    <t xml:space="preserve"> This IP's assignment information does not match DNS or ServiceManager (since 081313)</t>
  </si>
  <si>
    <t xml:space="preserve">10.221.3.227 </t>
  </si>
  <si>
    <t>C415EDABLAPP</t>
  </si>
  <si>
    <t xml:space="preserve"> This IP's assignment information does not match DNS or ServiceManager (since 090513)</t>
  </si>
  <si>
    <t>10.221.3.227</t>
  </si>
  <si>
    <t xml:space="preserve">10.221.3.228 </t>
  </si>
  <si>
    <t>c895fzablapp</t>
  </si>
  <si>
    <t>10.221.3.228</t>
  </si>
  <si>
    <t xml:space="preserve">10.221.3.240 </t>
  </si>
  <si>
    <t>c998gttblfs.ecom.tlrg.com</t>
  </si>
  <si>
    <t xml:space="preserve"> This IP's assignment information does not match DNS or ServiceManager (since 082713)</t>
  </si>
  <si>
    <t>10.221.3.240</t>
  </si>
  <si>
    <t xml:space="preserve">10.221.3.247 </t>
  </si>
  <si>
    <t>c998gttblsql.ecom.tlrg.com</t>
  </si>
  <si>
    <t xml:space="preserve"> This IP's ServiceManager entry does not match the ServiceManager entry corresponding to the DNS name (since 090413)</t>
  </si>
  <si>
    <t>10.221.3.247</t>
  </si>
  <si>
    <t xml:space="preserve">10.221.64.218 </t>
  </si>
  <si>
    <t>EG-WGSAPP-B02</t>
  </si>
  <si>
    <t xml:space="preserve"> Does not respond to ping (since 053013)</t>
  </si>
  <si>
    <t>10.214.13.8</t>
  </si>
  <si>
    <t xml:space="preserve">10.221.241.244 </t>
  </si>
  <si>
    <t>c400tmpblsql.oob.westgroup.net</t>
  </si>
  <si>
    <t xml:space="preserve">10.222.122.89 </t>
  </si>
  <si>
    <t>ANDRE</t>
  </si>
  <si>
    <t xml:space="preserve"> Does not respond to ping (since 061112)</t>
  </si>
  <si>
    <t xml:space="preserve">10.222.122.97 </t>
  </si>
  <si>
    <t>PROD01</t>
  </si>
  <si>
    <t xml:space="preserve">10.222.122.98 </t>
  </si>
  <si>
    <t>PROD02</t>
  </si>
  <si>
    <t xml:space="preserve"> Does not respond to ping (since 111712)</t>
  </si>
  <si>
    <t xml:space="preserve">10.225.20.5 </t>
  </si>
  <si>
    <t>tlrielkhubweb07.hubbardhost.com</t>
  </si>
  <si>
    <t xml:space="preserve"> This IP's assignment information does not match DNS or ServiceManager (since 031913)</t>
  </si>
  <si>
    <t>10.225.20.5</t>
  </si>
  <si>
    <t xml:space="preserve">10.225.20.6 </t>
  </si>
  <si>
    <t>tlrielkhubweb08.hubbardhost.com</t>
  </si>
  <si>
    <t>10.225.20.6</t>
  </si>
  <si>
    <t xml:space="preserve">163.231.95.64 </t>
  </si>
  <si>
    <t>EG-GSIFS-B03</t>
  </si>
  <si>
    <t xml:space="preserve"> Does not respond to ping (since 092712)</t>
  </si>
  <si>
    <t xml:space="preserve">167.68.150.6 </t>
  </si>
  <si>
    <t>eg-lwschl-a37.ecom.tlrg.com</t>
  </si>
  <si>
    <t>167.68.150.6</t>
  </si>
  <si>
    <t xml:space="preserve">167.68.164.215 </t>
  </si>
  <si>
    <t>eg-hbrsql-b55c</t>
  </si>
  <si>
    <t xml:space="preserve"> Does not respond to ping (since 042813)</t>
  </si>
  <si>
    <t xml:space="preserve">167.68.164.216 </t>
  </si>
  <si>
    <t>eg-hbrsql-b55r</t>
  </si>
  <si>
    <t xml:space="preserve">167.68.164.217 </t>
  </si>
  <si>
    <t>eg-hbrsql-b55m</t>
  </si>
  <si>
    <t xml:space="preserve">167.68.164.218 </t>
  </si>
  <si>
    <t>eg-hbrsql-b57c</t>
  </si>
  <si>
    <t xml:space="preserve">167.68.164.219 </t>
  </si>
  <si>
    <t>eg-hbrsql-b57r</t>
  </si>
  <si>
    <t xml:space="preserve">167.68.164.220 </t>
  </si>
  <si>
    <t>eg-hbrsql-b57m</t>
  </si>
  <si>
    <t xml:space="preserve">167.68.180.168 </t>
  </si>
  <si>
    <t>eg-hbrsql-a51c</t>
  </si>
  <si>
    <t xml:space="preserve">167.68.180.180 </t>
  </si>
  <si>
    <t>eg-hbrsql-a51r</t>
  </si>
  <si>
    <t xml:space="preserve">167.68.180.192 </t>
  </si>
  <si>
    <t>eg-hbrsql-a51m</t>
  </si>
  <si>
    <t xml:space="preserve">167.68.180.193 </t>
  </si>
  <si>
    <t>eg-hbrsql-a53c</t>
  </si>
  <si>
    <t xml:space="preserve">167.68.180.194 </t>
  </si>
  <si>
    <t>eg-hbrsql-a53r</t>
  </si>
  <si>
    <t xml:space="preserve">167.68.180.195 </t>
  </si>
  <si>
    <t>eg-hbrsql-a53m</t>
  </si>
  <si>
    <t xml:space="preserve">167.68.238.215 </t>
  </si>
  <si>
    <t>eg-cardcc-a11</t>
  </si>
  <si>
    <t xml:space="preserve"> Does not respond to ping (since 032813)</t>
  </si>
  <si>
    <t xml:space="preserve">167.68.238.228 </t>
  </si>
  <si>
    <t>eg-cardcc-a12</t>
  </si>
  <si>
    <t xml:space="preserve">10.221.254.208 </t>
  </si>
  <si>
    <t>EG-SWGWEB-A02</t>
  </si>
  <si>
    <t xml:space="preserve"> Does not respond to ping (since 060113)</t>
  </si>
  <si>
    <t>10.216.19.56</t>
  </si>
  <si>
    <t>No Longer Exists</t>
  </si>
  <si>
    <t>Recycled?</t>
  </si>
  <si>
    <t>DNS Name</t>
  </si>
  <si>
    <t xml:space="preserve">10.223.16.109 </t>
  </si>
  <si>
    <t>LA-SUP38-W2K8S5</t>
  </si>
  <si>
    <t xml:space="preserve"> Does not respond to ping (since 060413)</t>
  </si>
  <si>
    <t xml:space="preserve">10.223.16.184 </t>
  </si>
  <si>
    <t>C803CNP3ECQ61</t>
  </si>
  <si>
    <t xml:space="preserve">10.223.17.93 </t>
  </si>
  <si>
    <t>C701RBN3EFQ02</t>
  </si>
  <si>
    <t xml:space="preserve">10.223.17.198 </t>
  </si>
  <si>
    <t>la-dev-bt03</t>
  </si>
  <si>
    <t xml:space="preserve">10.213.32.218 </t>
  </si>
  <si>
    <t>NEW-CUFSCORP01</t>
  </si>
  <si>
    <t xml:space="preserve">10.205.7.70 </t>
  </si>
  <si>
    <t>eg-cpstst-sql1.tlr.thomson.com</t>
  </si>
  <si>
    <t xml:space="preserve"> This IP's assignment information does not match DNS or ServiceManager (since 091613)</t>
  </si>
  <si>
    <t xml:space="preserve"> This IP's assignment information does not match DNS or ServiceManager (since 091013)</t>
  </si>
  <si>
    <t xml:space="preserve">10.220.22.247 </t>
  </si>
  <si>
    <t>EG-NALWLDV-B04</t>
  </si>
  <si>
    <t xml:space="preserve">10.220.68.5 </t>
  </si>
  <si>
    <t>EG-CNAPP-F01</t>
  </si>
  <si>
    <t xml:space="preserve">10.220.68.121 </t>
  </si>
  <si>
    <t>EG-CNAPP-F02</t>
  </si>
  <si>
    <t xml:space="preserve">10.220.68.122 </t>
  </si>
  <si>
    <t>EG-CNAPP-F03</t>
  </si>
  <si>
    <t xml:space="preserve">10.220.68.132 </t>
  </si>
  <si>
    <t>EG-CNAPP-F04</t>
  </si>
  <si>
    <t xml:space="preserve">10.222.122.43 </t>
  </si>
  <si>
    <t>TLRUSDCDC01</t>
  </si>
  <si>
    <t xml:space="preserve"> This IP's ServiceManager entry does not match the ServiceManager entry corresponding to the DNS name (since 091013)</t>
  </si>
  <si>
    <t xml:space="preserve">167.68.180.232 </t>
  </si>
  <si>
    <t>eg-twbsql-a01C</t>
  </si>
  <si>
    <t xml:space="preserve">167.68.217.39 </t>
  </si>
  <si>
    <t>EG-HBRBTS-A15</t>
  </si>
  <si>
    <t>Sent Email to DC-NCC</t>
  </si>
  <si>
    <t xml:space="preserve">10.220.19.94 </t>
  </si>
  <si>
    <t>eg-tasqlq-b01C</t>
  </si>
  <si>
    <t xml:space="preserve"> Does not respond to ping (since 061513)</t>
  </si>
  <si>
    <t xml:space="preserve">10.220.19.95 </t>
  </si>
  <si>
    <t>EG-TASQLQ-B01M</t>
  </si>
  <si>
    <t xml:space="preserve">10.220.19.96 </t>
  </si>
  <si>
    <t>EG-TASQLQ-B01R</t>
  </si>
  <si>
    <t xml:space="preserve">163.231.30.204 </t>
  </si>
  <si>
    <t>TLRUSMNEAGMBC14</t>
  </si>
  <si>
    <t xml:space="preserve"> Does not respond to ping (since 061113)</t>
  </si>
  <si>
    <t>ECCRG.mgmt.tlrg.com</t>
  </si>
  <si>
    <t xml:space="preserve"> This IP's assignment information does not match DNS or ServiceManager (since 092113)</t>
  </si>
  <si>
    <t>C998GTTBLFS.ecom.tlrg.com</t>
  </si>
  <si>
    <t xml:space="preserve"> This IP's ServiceManager entry does not match the ServiceManager entry corresponding to the DNS name (since 092113)</t>
  </si>
  <si>
    <t xml:space="preserve">Contacted DC-NCC. </t>
  </si>
  <si>
    <t>IP Address has been changed</t>
  </si>
  <si>
    <t>Cluster no longer exists CR0695091</t>
  </si>
  <si>
    <t>Cluster no longer exists CR0695092</t>
  </si>
  <si>
    <t>Hold for Platform?</t>
  </si>
  <si>
    <t xml:space="preserve"> This IP's ServiceManager entry does not match the ServiceManager entry corresponding to the DNS name (since 093013)</t>
  </si>
  <si>
    <t xml:space="preserve"> This IP's assignment information does not match DNS or ServiceManager (since 092613)</t>
  </si>
  <si>
    <t xml:space="preserve"> This IP's assignment information does not match DNS or ServiceManager (since 093013)</t>
  </si>
  <si>
    <t xml:space="preserve"> Does not respond to ping (since 061913)</t>
  </si>
  <si>
    <t>TLRUSMNEAGPUB05</t>
  </si>
  <si>
    <t xml:space="preserve">163.231.30.102 </t>
  </si>
  <si>
    <t>TLRUSMNEAGPBC01</t>
  </si>
  <si>
    <t xml:space="preserve">163.231.30.100 </t>
  </si>
  <si>
    <t xml:space="preserve"> Does not respond to ping (since 061813)</t>
  </si>
  <si>
    <t>EG-TFSSQL-A01</t>
  </si>
  <si>
    <t xml:space="preserve">10.220.94.41 </t>
  </si>
  <si>
    <t>eg-atlsql-b10r</t>
  </si>
  <si>
    <t xml:space="preserve">163.231.96.143 </t>
  </si>
  <si>
    <t>eg-atlsql-b10m</t>
  </si>
  <si>
    <t xml:space="preserve">163.231.96.136 </t>
  </si>
  <si>
    <t>eg-atlsql-b10c</t>
  </si>
  <si>
    <t xml:space="preserve">163.231.96.134 </t>
  </si>
  <si>
    <t>EG-ATLSQL-B11R</t>
  </si>
  <si>
    <t xml:space="preserve">163.231.96.4 </t>
  </si>
  <si>
    <t xml:space="preserve"> Does not respond to ping (since 062213)</t>
  </si>
  <si>
    <t>c427fnt</t>
  </si>
  <si>
    <t xml:space="preserve">10.176.12.51 </t>
  </si>
  <si>
    <t xml:space="preserve">10.221.254.212 </t>
  </si>
  <si>
    <t xml:space="preserve"> Does not respond to ping (since 062713)</t>
  </si>
  <si>
    <t>BUILDBOX38</t>
  </si>
  <si>
    <t>10.223.16.184</t>
  </si>
  <si>
    <t>LA-CB-DEV-RM02</t>
  </si>
  <si>
    <t>10.223.17.93</t>
  </si>
  <si>
    <t>ELITECLIENT3</t>
  </si>
  <si>
    <t>10.223.17.198</t>
  </si>
  <si>
    <t xml:space="preserve">10.176.8.5 </t>
  </si>
  <si>
    <t>C978DBRBLAPP</t>
  </si>
  <si>
    <t xml:space="preserve">10.176.8.6 </t>
  </si>
  <si>
    <t>c478sqdblweb</t>
  </si>
  <si>
    <t xml:space="preserve">10.204.32.239 </t>
  </si>
  <si>
    <t>C111HGB</t>
  </si>
  <si>
    <t xml:space="preserve"> Does not respond to ping (since 062813)</t>
  </si>
  <si>
    <t xml:space="preserve">10.220.49.122 </t>
  </si>
  <si>
    <t>RA_EG-ICMSQL-B01</t>
  </si>
  <si>
    <t>EG-ATLSQL-B10C</t>
  </si>
  <si>
    <t>EG-ATLSQL-B10M</t>
  </si>
  <si>
    <t>EG-ATLSQL-B10R</t>
  </si>
  <si>
    <t xml:space="preserve">10.215.13.12 </t>
  </si>
  <si>
    <t>eg-gsiapp-a37.prodpublishingpathwaya.local</t>
  </si>
  <si>
    <t xml:space="preserve"> This IP's assignment information does not match DNS or ServiceManager (since 100413)</t>
  </si>
  <si>
    <t xml:space="preserve"> This IP's ServiceManager entry does not match the ServiceManager entry corresponding to the DNS name (since 100413)</t>
  </si>
  <si>
    <t xml:space="preserve">167.68.237.209 </t>
  </si>
  <si>
    <t>eg-carvmhs-a04.westlan.com</t>
  </si>
  <si>
    <t xml:space="preserve">167.68.237.210 </t>
  </si>
  <si>
    <t>eg-carvmhs-a05.westlan.com</t>
  </si>
  <si>
    <t>Wrong IP?</t>
  </si>
  <si>
    <t xml:space="preserve">10.52.141.71 </t>
  </si>
  <si>
    <t>C784EMTFAUAD1</t>
  </si>
  <si>
    <t xml:space="preserve"> Does not respond to ping (since 070213)</t>
  </si>
  <si>
    <t xml:space="preserve">10.220.48.222 </t>
  </si>
  <si>
    <t>RA-EG-TASQLQ-B01</t>
  </si>
  <si>
    <t xml:space="preserve">10.220.48.223 </t>
  </si>
  <si>
    <t>RA-EG-TASQLQ-B02</t>
  </si>
  <si>
    <t xml:space="preserve">10.221.240.243 </t>
  </si>
  <si>
    <t>RA-EG-ATLSQL-B10</t>
  </si>
  <si>
    <t xml:space="preserve">10.221.241.196 </t>
  </si>
  <si>
    <t>RA-EG-ATLSQL-B11</t>
  </si>
  <si>
    <t xml:space="preserve">10.221.244.179 </t>
  </si>
  <si>
    <t>RA-EG-TASQL-A02</t>
  </si>
  <si>
    <t xml:space="preserve"> Does not respond to ping (since 063013)</t>
  </si>
  <si>
    <t xml:space="preserve">10.225.23.203 </t>
  </si>
  <si>
    <t>LM-TRTA-C01</t>
  </si>
  <si>
    <t xml:space="preserve"> Does not respond to ping (since 070313)</t>
  </si>
  <si>
    <t xml:space="preserve">10.226.4.212 </t>
  </si>
  <si>
    <t>trsielkcmgora01.isihost.com</t>
  </si>
  <si>
    <t xml:space="preserve">10.226.67.80 </t>
  </si>
  <si>
    <t>C111FCV-ilo</t>
  </si>
  <si>
    <t xml:space="preserve">10.237.171.71 </t>
  </si>
  <si>
    <t>C111AKN</t>
  </si>
  <si>
    <t xml:space="preserve">10.215.44.46 </t>
  </si>
  <si>
    <t>C406NMSCPASQF</t>
  </si>
  <si>
    <t xml:space="preserve"> Does not respond to ping (since 070513)</t>
  </si>
  <si>
    <t xml:space="preserve">10.215.44.47 </t>
  </si>
  <si>
    <t>C442TDDCPASQF</t>
  </si>
  <si>
    <t xml:space="preserve">10.226.64.185 </t>
  </si>
  <si>
    <t>LM-H1POC-B02-ilo</t>
  </si>
  <si>
    <t xml:space="preserve">10.221.241.250 </t>
  </si>
  <si>
    <t>EG-CRISQLQA-B01</t>
  </si>
  <si>
    <t>Has not Responded since December</t>
  </si>
  <si>
    <t>Server has been repurposed</t>
  </si>
  <si>
    <t>GivenHostname</t>
  </si>
  <si>
    <t>Check if the same</t>
  </si>
  <si>
    <t>GivenHostnameLastweeks</t>
  </si>
  <si>
    <t xml:space="preserve">10.204.60.78 </t>
  </si>
  <si>
    <t>C334BXBWNASQE</t>
  </si>
  <si>
    <t xml:space="preserve"> Does not respond to ping (since 071313)</t>
  </si>
  <si>
    <t xml:space="preserve">10.205.50.27 </t>
  </si>
  <si>
    <t>C111FZP</t>
  </si>
  <si>
    <t xml:space="preserve"> Does not respond to ping (since 071013)</t>
  </si>
  <si>
    <t xml:space="preserve">10.205.50.28 </t>
  </si>
  <si>
    <t>C111VAQ</t>
  </si>
  <si>
    <t>trsielkcmgora01</t>
  </si>
  <si>
    <t xml:space="preserve">10.215.13.3 </t>
  </si>
  <si>
    <t>eg-gsigra-a02.prodpublishingpathwaya.local</t>
  </si>
  <si>
    <t xml:space="preserve"> Does not respond to ping (since 070913)</t>
  </si>
  <si>
    <t xml:space="preserve">10.215.13.4 </t>
  </si>
  <si>
    <t>eg-gsiapp-a07.prodpublishingpathwaya.local</t>
  </si>
  <si>
    <t xml:space="preserve">10.215.13.9 </t>
  </si>
  <si>
    <t>eg-gsiapp-a08.prodpublishingpathwaya.local</t>
  </si>
  <si>
    <t xml:space="preserve"> Does not respond to ping (since 070813)</t>
  </si>
  <si>
    <t xml:space="preserve">10.215.13.10 </t>
  </si>
  <si>
    <t>eg-gsiapp-a35.prodpublishingpathwaya.local</t>
  </si>
  <si>
    <t xml:space="preserve">10.215.13.11 </t>
  </si>
  <si>
    <t>eg-gsiapp-a36.prodpublishingpathwaya.local</t>
  </si>
  <si>
    <t xml:space="preserve"> This IP's assignment information does not match DNS or ServiceManager (since 102113)</t>
  </si>
  <si>
    <t xml:space="preserve">10.221.240.242 </t>
  </si>
  <si>
    <t>EG-HBRSQL-B18</t>
  </si>
  <si>
    <t xml:space="preserve"> Does not respond to ping (since 071113)</t>
  </si>
  <si>
    <t xml:space="preserve">10.221.243.182 </t>
  </si>
  <si>
    <t>RA_EG-WRCSQL-B12</t>
  </si>
  <si>
    <t xml:space="preserve">10.221.249.116 </t>
  </si>
  <si>
    <t>RA-EG-HBRSQL-B36</t>
  </si>
  <si>
    <t xml:space="preserve">10.221.249.167 </t>
  </si>
  <si>
    <t>EG-HBRSQL-B32</t>
  </si>
  <si>
    <t xml:space="preserve">10.221.249.250 </t>
  </si>
  <si>
    <t>EG-HBRSQL-B34</t>
  </si>
  <si>
    <t xml:space="preserve">10.221.252.182 </t>
  </si>
  <si>
    <t>RA_EG-WRCSQL-A18</t>
  </si>
  <si>
    <t xml:space="preserve">10.221.253.170 </t>
  </si>
  <si>
    <t>EG-HBRSQL-A33</t>
  </si>
  <si>
    <t xml:space="preserve">10.221.253.175 </t>
  </si>
  <si>
    <t>EG-HBRSQL-A37</t>
  </si>
  <si>
    <t xml:space="preserve">10.221.253.245 </t>
  </si>
  <si>
    <t>EG-HBRSQL-A17</t>
  </si>
  <si>
    <t xml:space="preserve">10.221.254.109 </t>
  </si>
  <si>
    <t>EG-MTSGE-A02</t>
  </si>
  <si>
    <t xml:space="preserve">10.221.254.239 </t>
  </si>
  <si>
    <t>EG-HBRSQL-A35</t>
  </si>
  <si>
    <t xml:space="preserve">10.222.122.40 </t>
  </si>
  <si>
    <t>tlrusdcmbx01</t>
  </si>
  <si>
    <t xml:space="preserve">10.225.20.7 </t>
  </si>
  <si>
    <t>C111RXR</t>
  </si>
  <si>
    <t xml:space="preserve">10.225.20.22 </t>
  </si>
  <si>
    <t>C111WRS</t>
  </si>
  <si>
    <t xml:space="preserve"> This IP's ServiceManager entry does not match the ServiceManager entry corresponding to the DNS name (since 102113)</t>
  </si>
  <si>
    <t>10.204.54.52  </t>
  </si>
  <si>
    <t>Decomissioned</t>
  </si>
  <si>
    <t>Sent email to Directory Services</t>
  </si>
  <si>
    <t>Wrong IP Listed in Zipper</t>
  </si>
  <si>
    <t>Does not respond to ping (since 121412)</t>
  </si>
  <si>
    <t>Does not respond to ping (since 111712)</t>
  </si>
  <si>
    <t>Does not respond to ping (since 092712)</t>
  </si>
  <si>
    <t>Does not respond to ping (since 061813)</t>
  </si>
  <si>
    <t>Does not respond to ping (since 061513)</t>
  </si>
  <si>
    <t>Does not respond to ping (since 060413)</t>
  </si>
  <si>
    <t>Does not respond to ping (since 052313)</t>
  </si>
  <si>
    <t>Does not respond to ping (since 042813)</t>
  </si>
  <si>
    <t>Does not respond to ping (since 042113)</t>
  </si>
  <si>
    <t xml:space="preserve">10.205.69.53 </t>
  </si>
  <si>
    <t>c180agmjamf.ten.thomsonreuters.com</t>
  </si>
  <si>
    <t xml:space="preserve"> This IP's assignment information does not match DNS or ServiceManager (since 101413)</t>
  </si>
  <si>
    <t>10.205.69.53</t>
  </si>
  <si>
    <t xml:space="preserve">10.221.68.164 </t>
  </si>
  <si>
    <t>eg-ssoappqa-a01</t>
  </si>
  <si>
    <t xml:space="preserve"> Does not respond to ping (since 071813)</t>
  </si>
  <si>
    <t xml:space="preserve">10.204.108.121 </t>
  </si>
  <si>
    <t>c334bxbwnasqe</t>
  </si>
  <si>
    <t xml:space="preserve"> Does not respond to ping (since 071613)</t>
  </si>
  <si>
    <t xml:space="preserve">10.214.155.17 </t>
  </si>
  <si>
    <t>C814UEKCPASPE</t>
  </si>
  <si>
    <t xml:space="preserve"> Does not respond to ping (since 071713)</t>
  </si>
  <si>
    <t xml:space="preserve">10.214.155.18 </t>
  </si>
  <si>
    <t>C686VTYCPASPE</t>
  </si>
  <si>
    <t xml:space="preserve"> This IP's assignment information does not match DNS or ServiceManager (since 102713)</t>
  </si>
  <si>
    <t xml:space="preserve">10.221.245.237 </t>
  </si>
  <si>
    <t>EG-HBRSQL-A54</t>
  </si>
  <si>
    <t xml:space="preserve"> This IP's ServiceManager entry does not match the ServiceManager entry corresponding to the DNS name (since 102713)</t>
  </si>
  <si>
    <t>Wrong Machine Name in Zipper</t>
  </si>
  <si>
    <t>Changed Machine name</t>
  </si>
  <si>
    <t>Assigned new IP</t>
  </si>
  <si>
    <t xml:space="preserve">10.220.49.0 </t>
  </si>
  <si>
    <t>EG-SWGSQLQ-B09</t>
  </si>
  <si>
    <t xml:space="preserve"> Does not respond to ping (since 102809)</t>
  </si>
  <si>
    <t xml:space="preserve">10.220.66.0 </t>
  </si>
  <si>
    <t>eg-dcpfc-b02</t>
  </si>
  <si>
    <t xml:space="preserve"> Does not respond to ping (since 111409)</t>
  </si>
  <si>
    <t xml:space="preserve">10.221.68.165 </t>
  </si>
  <si>
    <t>eg-ssoappqa-a02</t>
  </si>
  <si>
    <t xml:space="preserve"> Does not respond to ping (since 072413)</t>
  </si>
  <si>
    <t xml:space="preserve">10.221.240.216 </t>
  </si>
  <si>
    <t>EG-ATLAPP-B09</t>
  </si>
  <si>
    <t xml:space="preserve"> Does not respond to ping (since 072613)</t>
  </si>
  <si>
    <t xml:space="preserve">10.221.241.210 </t>
  </si>
  <si>
    <t>EG-ATLAPP-B08</t>
  </si>
  <si>
    <t xml:space="preserve">10.176.8.142 </t>
  </si>
  <si>
    <t xml:space="preserve"> This IP is apparently in use, but it has not been assigned (since 103013)</t>
  </si>
  <si>
    <t xml:space="preserve">10.204.33.0 </t>
  </si>
  <si>
    <t>C111HTQ</t>
  </si>
  <si>
    <t xml:space="preserve"> Does not respond to ping (since 072511)</t>
  </si>
  <si>
    <t xml:space="preserve">10.213.40.120 </t>
  </si>
  <si>
    <t>RA-EG-CMAPP-B02</t>
  </si>
  <si>
    <t xml:space="preserve">10.220.30.89 </t>
  </si>
  <si>
    <t>eg-cmappdv-b01</t>
  </si>
  <si>
    <t xml:space="preserve"> Does not respond to ping (since 072513)</t>
  </si>
  <si>
    <t xml:space="preserve">10.220.52.177 </t>
  </si>
  <si>
    <t>RA-EG-CMAPPDV-B01</t>
  </si>
  <si>
    <t xml:space="preserve">10.220.65.0 </t>
  </si>
  <si>
    <t>EG-MSTROQA-B04</t>
  </si>
  <si>
    <t xml:space="preserve"> Does not respond to ping (since 072911)</t>
  </si>
  <si>
    <t xml:space="preserve">10.221.64.184 </t>
  </si>
  <si>
    <t>eg-cssql-b07</t>
  </si>
  <si>
    <t xml:space="preserve"> This IP's assignment information does not match DNS or ServiceManager (since 103113)</t>
  </si>
  <si>
    <t xml:space="preserve">10.221.65.0 </t>
  </si>
  <si>
    <t>eg-wlbweb-b21</t>
  </si>
  <si>
    <t>c111rxr</t>
  </si>
  <si>
    <t>c111wrs</t>
  </si>
  <si>
    <t xml:space="preserve"> This IP's ServiceManager entry does not match the ServiceManager entry corresponding to the DNS name (since 103113)</t>
  </si>
  <si>
    <t>10.220.66.3</t>
  </si>
  <si>
    <t>10.204.56.4</t>
  </si>
  <si>
    <t>10.220.95.2</t>
  </si>
  <si>
    <t>10.176.5.203</t>
  </si>
  <si>
    <t>eg-wlbweb-b21.ecom.tlrg.com</t>
  </si>
  <si>
    <t>10.214.26.109</t>
  </si>
  <si>
    <t xml:space="preserve"> This IP's assignment information does not match DNS or ServiceManager (since 111113)</t>
  </si>
  <si>
    <t>rsgprod.int.westgroup.com</t>
  </si>
  <si>
    <t xml:space="preserve">10.206.22.93 </t>
  </si>
  <si>
    <t>C360GUD</t>
  </si>
  <si>
    <t xml:space="preserve"> Does not respond to ping (since 080313)</t>
  </si>
  <si>
    <t>10.206.46.83</t>
  </si>
  <si>
    <t xml:space="preserve">10.206.64.36 </t>
  </si>
  <si>
    <t>iqtest.recap.com</t>
  </si>
  <si>
    <t xml:space="preserve"> This IP's assignment information does not match DNS or ServiceManager (since 102913)</t>
  </si>
  <si>
    <t>10.206.64.36</t>
  </si>
  <si>
    <t xml:space="preserve">10.220.179.16 </t>
  </si>
  <si>
    <t>2012testSand</t>
  </si>
  <si>
    <t xml:space="preserve"> Does not respond to ping (since 080113)</t>
  </si>
  <si>
    <t>10.215.34.20</t>
  </si>
  <si>
    <t xml:space="preserve">10.220.98.60 </t>
  </si>
  <si>
    <t>EG-DBASQL-B22</t>
  </si>
  <si>
    <t xml:space="preserve"> Does not respond to ping (since 080513)</t>
  </si>
  <si>
    <t xml:space="preserve">10.221.1.62 </t>
  </si>
  <si>
    <t>EG-DBASQLQA-B11</t>
  </si>
  <si>
    <t xml:space="preserve"> Does not respond to ping (since 080713)</t>
  </si>
  <si>
    <t xml:space="preserve">163.231.97.100 </t>
  </si>
  <si>
    <t>eg-dbasql-a20</t>
  </si>
  <si>
    <t xml:space="preserve">10.220.49.70 </t>
  </si>
  <si>
    <t>RA-EG-TFSNGQA-B02</t>
  </si>
  <si>
    <t xml:space="preserve"> Does not respond to ping (since 080413)</t>
  </si>
  <si>
    <t xml:space="preserve">10.220.64.96 </t>
  </si>
  <si>
    <t>eg-wlhdv-b01.tlr.thomson.com</t>
  </si>
  <si>
    <t xml:space="preserve"> This IP is apparently in use, but it has not been assigned (since 111313)</t>
  </si>
  <si>
    <t>10.220.64.96</t>
  </si>
  <si>
    <t xml:space="preserve">10.54.130.14 </t>
  </si>
  <si>
    <t>c642wtguki</t>
  </si>
  <si>
    <t xml:space="preserve"> This IP's assignment information does not match DNS or ServiceManager (since 111813)</t>
  </si>
  <si>
    <t xml:space="preserve"> This IP's ServiceManager entry does not match the ServiceManager entry corresponding to the DNS name (since 111813)</t>
  </si>
  <si>
    <t>Rebuilt</t>
  </si>
  <si>
    <t>OOB is 10.221.240.93</t>
  </si>
  <si>
    <t xml:space="preserve">163.231.21.38 </t>
  </si>
  <si>
    <t>C111ZBACAS32</t>
  </si>
  <si>
    <t xml:space="preserve"> Does not respond to ping (since 081413)</t>
  </si>
  <si>
    <t xml:space="preserve">163.231.21.39 </t>
  </si>
  <si>
    <t>C111JDYCAS33</t>
  </si>
  <si>
    <t xml:space="preserve">163.231.21.40 </t>
  </si>
  <si>
    <t>C111ADZCAS34</t>
  </si>
  <si>
    <t xml:space="preserve">163.231.21.41 </t>
  </si>
  <si>
    <t>C111KKHCAS35</t>
  </si>
  <si>
    <t xml:space="preserve">10.205.61.92 </t>
  </si>
  <si>
    <t>c845vmvcpasfq.ecomqc.tlrg.com</t>
  </si>
  <si>
    <t xml:space="preserve"> This IP is apparently in use, but it has not been assigned (since 112513)</t>
  </si>
  <si>
    <t xml:space="preserve"> This IP's assignment information does not match DNS or ServiceManager (since 112113)</t>
  </si>
  <si>
    <t xml:space="preserve">10.213.44.8 </t>
  </si>
  <si>
    <t>RA-EG-WLBSQL-A29</t>
  </si>
  <si>
    <t xml:space="preserve"> Does not respond to ping (since 081513)</t>
  </si>
  <si>
    <t xml:space="preserve">10.213.44.53 </t>
  </si>
  <si>
    <t>RA-EG-H1SQL-A06</t>
  </si>
  <si>
    <t xml:space="preserve">10.213.44.68 </t>
  </si>
  <si>
    <t>RA-EG-H1SQL-A08</t>
  </si>
  <si>
    <t xml:space="preserve"> This IP's assignment information does not match DNS or ServiceManager (since 112513)</t>
  </si>
  <si>
    <t xml:space="preserve">10.221.249.30 </t>
  </si>
  <si>
    <t>EG-HBRSQL-B56</t>
  </si>
  <si>
    <t xml:space="preserve">10.221.249.32 </t>
  </si>
  <si>
    <t>EG-HBRSQL-B55</t>
  </si>
  <si>
    <t xml:space="preserve"> This IP's ServiceManager entry does not match the ServiceManager entry corresponding to the DNS name (since 112513)</t>
  </si>
  <si>
    <t>Changed Device Name Zipper</t>
  </si>
  <si>
    <t>Two servers with same IP. ReDeploy?</t>
  </si>
  <si>
    <t xml:space="preserve">10.51.2.117 </t>
  </si>
  <si>
    <t>c586pzjhzweb2</t>
  </si>
  <si>
    <t xml:space="preserve"> Does not respond to ping (since 082213)</t>
  </si>
  <si>
    <t>c586pzjhzweb2.erf.thomson.com</t>
  </si>
  <si>
    <t>10.51.9.2</t>
  </si>
  <si>
    <t xml:space="preserve">10.51.2.118 </t>
  </si>
  <si>
    <t>c708xvjhzweb3</t>
  </si>
  <si>
    <t>c708xvjhzweb3.erf.thomson.com</t>
  </si>
  <si>
    <t>10.51.9.3</t>
  </si>
  <si>
    <t xml:space="preserve">10.51.2.119 </t>
  </si>
  <si>
    <t>c872zxdhzweb4</t>
  </si>
  <si>
    <t>c872zxdhzweb4.erf.thomson.com</t>
  </si>
  <si>
    <t>10.51.9.4</t>
  </si>
  <si>
    <t xml:space="preserve">10.51.2.120 </t>
  </si>
  <si>
    <t>c253bhehzweb1</t>
  </si>
  <si>
    <t>c253bhehzweb1.erf.thomson.com</t>
  </si>
  <si>
    <t>10.51.9.1</t>
  </si>
  <si>
    <t xml:space="preserve">10.204.14.59 </t>
  </si>
  <si>
    <t>eg-mmonlqa-b06</t>
  </si>
  <si>
    <t xml:space="preserve"> Does not respond to ping (since 082113)</t>
  </si>
  <si>
    <t xml:space="preserve">10.205.69.87 </t>
  </si>
  <si>
    <t>C798DWYICMQA</t>
  </si>
  <si>
    <t xml:space="preserve">10.205.69.88 </t>
  </si>
  <si>
    <t>C145KDFICMQC</t>
  </si>
  <si>
    <t>10.205.40.159</t>
  </si>
  <si>
    <t>c111zbacas32</t>
  </si>
  <si>
    <t>c111jdycas33</t>
  </si>
  <si>
    <t>c111adzcas34</t>
  </si>
  <si>
    <t>c111kkhcas35</t>
  </si>
  <si>
    <t xml:space="preserve">10.221.244.239 </t>
  </si>
  <si>
    <t>EG-HBRSQL-A53</t>
  </si>
  <si>
    <t xml:space="preserve"> Does not respond to ping (since 082013)</t>
  </si>
  <si>
    <t xml:space="preserve">10.221.245.238 </t>
  </si>
  <si>
    <t>EG-HBRSQL-A51</t>
  </si>
  <si>
    <t xml:space="preserve">10.204.16.181 </t>
  </si>
  <si>
    <t>eg-eltvm-b38</t>
  </si>
  <si>
    <t xml:space="preserve"> Does not respond to ping (since 082413)</t>
  </si>
  <si>
    <t>10.204.72.5</t>
  </si>
  <si>
    <t xml:space="preserve">10.205.17.142 </t>
  </si>
  <si>
    <t>eg-eltvm-a27</t>
  </si>
  <si>
    <t xml:space="preserve"> Does not respond to ping (since 082313)</t>
  </si>
  <si>
    <t>10.205.69.42</t>
  </si>
  <si>
    <t xml:space="preserve">10.205.17.144 </t>
  </si>
  <si>
    <t>eg-eltvm-a29</t>
  </si>
  <si>
    <t>10.176.12.246</t>
  </si>
  <si>
    <t xml:space="preserve">10.205.17.145 </t>
  </si>
  <si>
    <t>eg-eltvm-a28</t>
  </si>
  <si>
    <t>10.205.69.103</t>
  </si>
  <si>
    <t xml:space="preserve"> This IP's assignment information does not match DNS or ServiceManager (since 120313)</t>
  </si>
  <si>
    <t xml:space="preserve">10.215.11.22 </t>
  </si>
  <si>
    <t>eg-eltvm-b27</t>
  </si>
  <si>
    <t xml:space="preserve">10.220.41.252 </t>
  </si>
  <si>
    <t>EG-ELTVM-B30</t>
  </si>
  <si>
    <t>10.204.56.166</t>
  </si>
  <si>
    <t xml:space="preserve">10.220.42.118 </t>
  </si>
  <si>
    <t>EG-ELTVM-B31</t>
  </si>
  <si>
    <t>10.204.57.9</t>
  </si>
  <si>
    <t xml:space="preserve">10.220.42.119 </t>
  </si>
  <si>
    <t>EG-ELTVM-B32</t>
  </si>
  <si>
    <t>10.204.57.10</t>
  </si>
  <si>
    <t xml:space="preserve">10.220.42.120 </t>
  </si>
  <si>
    <t>EG-ELTVM-B33</t>
  </si>
  <si>
    <t>10.204.57.11</t>
  </si>
  <si>
    <t xml:space="preserve">10.220.52.110 </t>
  </si>
  <si>
    <t>RA-EG-EHSQLQA-B01</t>
  </si>
  <si>
    <t xml:space="preserve"> Does not respond to ping (since 090113)</t>
  </si>
  <si>
    <t xml:space="preserve">10.220.52.111 </t>
  </si>
  <si>
    <t>RA-EG-EHSQLQA-B02</t>
  </si>
  <si>
    <t xml:space="preserve">10.176.4.19 </t>
  </si>
  <si>
    <t>C111RYG</t>
  </si>
  <si>
    <t xml:space="preserve"> Does not respond to ping (since 082713)</t>
  </si>
  <si>
    <t>C111RYG.mgmt.tlrg.com</t>
  </si>
  <si>
    <t>10.204.8.8</t>
  </si>
  <si>
    <t xml:space="preserve"> This IP's assignment information does not match DNS or ServiceManager (since 121613)</t>
  </si>
  <si>
    <t xml:space="preserve">10.216.64.87 </t>
  </si>
  <si>
    <t>EG-SWGFL-A01</t>
  </si>
  <si>
    <t>EG-SWGFL-A01.ecom.tlrg.com</t>
  </si>
  <si>
    <t>10.216.18.229</t>
  </si>
  <si>
    <t xml:space="preserve">10.216.64.88 </t>
  </si>
  <si>
    <t>EG-SWGSCH-A02</t>
  </si>
  <si>
    <t xml:space="preserve"> Does not respond to ping (since 090213)</t>
  </si>
  <si>
    <t>EG-SWGSCH-A02.ecom.tlrg.com</t>
  </si>
  <si>
    <t>10.216.18.239</t>
  </si>
  <si>
    <t xml:space="preserve">10.216.64.107 </t>
  </si>
  <si>
    <t>EG-SWGSIG-A02</t>
  </si>
  <si>
    <t>EG-SWGSIG-A02.ecom.tlrg.com</t>
  </si>
  <si>
    <t>10.216.18.240</t>
  </si>
  <si>
    <t xml:space="preserve">10.220.69.108 </t>
  </si>
  <si>
    <t>EG-ECBLDDV-H01</t>
  </si>
  <si>
    <t xml:space="preserve"> Does not respond to ping (since 082813)</t>
  </si>
  <si>
    <t xml:space="preserve">10.220.94.40 </t>
  </si>
  <si>
    <t>EG-TASQL-A01C</t>
  </si>
  <si>
    <t xml:space="preserve"> Does not respond to ping (since 082913)</t>
  </si>
  <si>
    <t xml:space="preserve">10.220.94.101 </t>
  </si>
  <si>
    <t>EG-TASQL-A01R</t>
  </si>
  <si>
    <t xml:space="preserve">10.220.94.102 </t>
  </si>
  <si>
    <t>EG-TASQL-A01M</t>
  </si>
  <si>
    <t xml:space="preserve">10.221.253.90 </t>
  </si>
  <si>
    <t>EG-PUBLIC-A12</t>
  </si>
  <si>
    <t>163.231.21.65</t>
  </si>
  <si>
    <t xml:space="preserve">10.221.254.206 </t>
  </si>
  <si>
    <t>EG-PUBLIC-A11</t>
  </si>
  <si>
    <t>163.231.21.66</t>
  </si>
  <si>
    <t xml:space="preserve">10.215.44.85 </t>
  </si>
  <si>
    <t>C458UDELHASPF</t>
  </si>
  <si>
    <t xml:space="preserve"> Does not respond to ping (since 090413)</t>
  </si>
  <si>
    <t xml:space="preserve">10.215.44.86 </t>
  </si>
  <si>
    <t>C351PMALHASPF</t>
  </si>
  <si>
    <t xml:space="preserve">10.215.44.87 </t>
  </si>
  <si>
    <t>C097MWELHASPF</t>
  </si>
  <si>
    <t xml:space="preserve">10.215.44.88 </t>
  </si>
  <si>
    <t>C022JUDLHASPF</t>
  </si>
  <si>
    <t xml:space="preserve">10.215.44.89 </t>
  </si>
  <si>
    <t>C457UDELHASPF</t>
  </si>
  <si>
    <t xml:space="preserve">10.215.44.90 </t>
  </si>
  <si>
    <t>C274BSWLHASPF</t>
  </si>
  <si>
    <t xml:space="preserve">10.215.44.91 </t>
  </si>
  <si>
    <t>C190PYHLHASPF</t>
  </si>
  <si>
    <t xml:space="preserve">10.215.44.92 </t>
  </si>
  <si>
    <t>C700VUZLHASPF</t>
  </si>
  <si>
    <t xml:space="preserve">10.215.44.93 </t>
  </si>
  <si>
    <t>C109GEULHASPF</t>
  </si>
  <si>
    <t xml:space="preserve">10.215.44.116 </t>
  </si>
  <si>
    <t>C754TVPLHASPF</t>
  </si>
  <si>
    <t xml:space="preserve"> This IP's assignment information does not match DNS or ServiceManager (since 121513)</t>
  </si>
  <si>
    <t xml:space="preserve">10.221.244.238 </t>
  </si>
  <si>
    <t>EG-HBRSQL-A52</t>
  </si>
  <si>
    <t xml:space="preserve"> Does not respond to ping (since 083113)</t>
  </si>
  <si>
    <t xml:space="preserve"> This IP's ServiceManager entry does not match the ServiceManager entry corresponding to the DNS name (since 121513)</t>
  </si>
  <si>
    <t>10.176.8.128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</si>
</sst>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u/>
      <sz val="11"/>
      <color rgb="FF9C0006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4D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F9B074"/>
      </left>
      <right/>
      <top style="medium">
        <color rgb="FFF9B074"/>
      </top>
      <bottom style="medium">
        <color rgb="FFF9B074"/>
      </bottom>
      <diagonal/>
    </border>
    <border>
      <left/>
      <right/>
      <top style="medium">
        <color rgb="FFF9B074"/>
      </top>
      <bottom style="medium">
        <color rgb="FFF9B074"/>
      </bottom>
      <diagonal/>
    </border>
    <border>
      <left/>
      <right style="medium">
        <color rgb="FFF9B074"/>
      </right>
      <top style="medium">
        <color rgb="FFF9B074"/>
      </top>
      <bottom style="medium">
        <color rgb="FFF9B074"/>
      </bottom>
      <diagonal/>
    </border>
    <border>
      <left style="medium">
        <color rgb="FFF9B074"/>
      </left>
      <right/>
      <top/>
      <bottom style="medium">
        <color rgb="FFF9B074"/>
      </bottom>
      <diagonal/>
    </border>
    <border>
      <left/>
      <right/>
      <top/>
      <bottom style="medium">
        <color rgb="FFF9B074"/>
      </bottom>
      <diagonal/>
    </border>
    <border>
      <left/>
      <right style="medium">
        <color rgb="FFF9B074"/>
      </right>
      <top/>
      <bottom style="medium">
        <color rgb="FFF9B074"/>
      </bottom>
      <diagonal/>
    </border>
  </borders>
  <cellStyleXfs count="7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6" borderId="3" applyNumberFormat="0" applyAlignment="0" applyProtection="0"/>
    <xf numFmtId="0" fontId="4" fillId="7" borderId="0" applyNumberFormat="0" applyBorder="0" applyAlignment="0" applyProtection="0"/>
    <xf numFmtId="0" fontId="5" fillId="8" borderId="0" applyNumberFormat="0" applyBorder="0" applyAlignment="0" applyProtection="0"/>
  </cellStyleXfs>
  <cellXfs count="42">
    <xf numFmtId="0" fontId="0" fillId="0" borderId="0" xfId="0"/>
    <xf numFmtId="0" fontId="6" fillId="2" borderId="0" xfId="0" applyFont="1" applyFill="1"/>
    <xf numFmtId="0" fontId="5" fillId="8" borderId="0" xfId="6"/>
    <xf numFmtId="0" fontId="4" fillId="7" borderId="0" xfId="5"/>
    <xf numFmtId="0" fontId="2" fillId="5" borderId="0" xfId="3"/>
    <xf numFmtId="0" fontId="0" fillId="0" borderId="1" xfId="0" applyBorder="1"/>
    <xf numFmtId="0" fontId="4" fillId="7" borderId="1" xfId="5" applyBorder="1"/>
    <xf numFmtId="0" fontId="5" fillId="8" borderId="1" xfId="6" applyBorder="1"/>
    <xf numFmtId="0" fontId="5" fillId="8" borderId="2" xfId="6" applyBorder="1"/>
    <xf numFmtId="0" fontId="4" fillId="7" borderId="1" xfId="5" applyBorder="1" applyAlignment="1" applyProtection="1"/>
    <xf numFmtId="0" fontId="7" fillId="5" borderId="0" xfId="3" applyFont="1"/>
    <xf numFmtId="0" fontId="3" fillId="6" borderId="3" xfId="4"/>
    <xf numFmtId="0" fontId="8" fillId="4" borderId="0" xfId="2" applyFont="1"/>
    <xf numFmtId="0" fontId="3" fillId="6" borderId="0" xfId="4" applyBorder="1"/>
    <xf numFmtId="0" fontId="4" fillId="7" borderId="3" xfId="5" applyBorder="1"/>
    <xf numFmtId="0" fontId="4" fillId="7" borderId="0" xfId="5" applyBorder="1"/>
    <xf numFmtId="0" fontId="5" fillId="8" borderId="0" xfId="6" applyBorder="1"/>
    <xf numFmtId="0" fontId="4" fillId="7" borderId="0" xfId="5" applyBorder="1" applyAlignment="1" applyProtection="1"/>
    <xf numFmtId="0" fontId="0" fillId="0" borderId="3" xfId="0" applyBorder="1"/>
    <xf numFmtId="0" fontId="0" fillId="0" borderId="0" xfId="0" applyBorder="1"/>
    <xf numFmtId="0" fontId="4" fillId="7" borderId="0" xfId="5" applyAlignment="1" applyProtection="1"/>
    <xf numFmtId="0" fontId="1" fillId="3" borderId="0" xfId="1"/>
    <xf numFmtId="0" fontId="7" fillId="5" borderId="3" xfId="3" applyFont="1" applyBorder="1"/>
    <xf numFmtId="0" fontId="4" fillId="10" borderId="0" xfId="5" applyFill="1"/>
    <xf numFmtId="0" fontId="0" fillId="10" borderId="0" xfId="0" applyFill="1"/>
    <xf numFmtId="0" fontId="9" fillId="10" borderId="0" xfId="6" applyFont="1" applyFill="1"/>
    <xf numFmtId="0" fontId="9" fillId="10" borderId="0" xfId="5" applyFont="1" applyFill="1"/>
    <xf numFmtId="0" fontId="11" fillId="11" borderId="4" xfId="0" applyFont="1" applyFill="1" applyBorder="1" applyAlignment="1">
      <alignment vertical="center"/>
    </xf>
    <xf numFmtId="0" fontId="11" fillId="11" borderId="5" xfId="0" applyFont="1" applyFill="1" applyBorder="1" applyAlignment="1">
      <alignment vertical="center"/>
    </xf>
    <xf numFmtId="0" fontId="11" fillId="11" borderId="6" xfId="0" applyFont="1" applyFill="1" applyBorder="1" applyAlignment="1">
      <alignment vertical="center"/>
    </xf>
    <xf numFmtId="0" fontId="11" fillId="12" borderId="7" xfId="0" applyFont="1" applyFill="1" applyBorder="1" applyAlignment="1">
      <alignment vertical="center"/>
    </xf>
    <xf numFmtId="0" fontId="12" fillId="12" borderId="8" xfId="0" applyFont="1" applyFill="1" applyBorder="1" applyAlignment="1">
      <alignment vertical="center"/>
    </xf>
    <xf numFmtId="0" fontId="12" fillId="12" borderId="9" xfId="0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12" borderId="8" xfId="0" applyFont="1" applyFill="1" applyBorder="1" applyAlignment="1">
      <alignment vertical="center"/>
    </xf>
    <xf numFmtId="0" fontId="10" fillId="12" borderId="9" xfId="0" applyFont="1" applyFill="1" applyBorder="1" applyAlignment="1">
      <alignment vertical="center"/>
    </xf>
    <xf numFmtId="18" fontId="0" fillId="0" borderId="0" xfId="0" applyNumberFormat="1"/>
    <xf numFmtId="0" fontId="0" fillId="9" borderId="0" xfId="0" applyFill="1" applyAlignment="1">
      <alignment horizontal="center"/>
    </xf>
  </cellXfs>
  <cellStyles count="7">
    <cellStyle name="Accent5" xfId="1" builtinId="45"/>
    <cellStyle name="Accent6" xfId="2" builtinId="49"/>
    <cellStyle name="Bad" xfId="3" builtinId="27"/>
    <cellStyle name="Calculation" xfId="4" builtinId="22"/>
    <cellStyle name="Good" xfId="5" builtinId="26"/>
    <cellStyle name="Neutral" xfId="6" builtinId="28"/>
    <cellStyle name="Normal" xfId="0" builtinId="0"/>
  </cellStyles>
  <dxfs count="6">
    <dxf>
      <fill>
        <patternFill patternType="none">
          <fgColor indexed="64"/>
          <bgColor indexed="65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F2F2F2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uildcenter.thomson.com/viewproject.asp?id=BCS11407" TargetMode="External"/><Relationship Id="rId1" Type="http://schemas.openxmlformats.org/officeDocument/2006/relationships/hyperlink" Target="https://buildcenter.thomson.com/viewproject.asp?id=BCS1140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buildcenter.thomson.com/viewproject.asp?id=BCS11407" TargetMode="External"/><Relationship Id="rId1" Type="http://schemas.openxmlformats.org/officeDocument/2006/relationships/hyperlink" Target="https://buildcenter.thomson.com/viewproject.asp?id=BCS1140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buildcenter.thomson.com/viewbuildconfigdata.asp?id=BC09360-06" TargetMode="External"/><Relationship Id="rId1" Type="http://schemas.openxmlformats.org/officeDocument/2006/relationships/hyperlink" Target="https://buildcenter.thomson.com/viewbuildconfigdata.asp?id=BC09309-0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opLeftCell="A53" zoomScaleNormal="100" workbookViewId="0">
      <selection activeCell="B72" sqref="B72"/>
    </sheetView>
  </sheetViews>
  <sheetFormatPr defaultRowHeight="15" x14ac:dyDescent="0.25"/>
  <cols>
    <col min="1" max="1" width="14.85546875" bestFit="1" customWidth="1"/>
    <col min="2" max="2" width="32.42578125" bestFit="1" customWidth="1"/>
    <col min="3" max="3" width="79.85546875" bestFit="1" customWidth="1"/>
    <col min="4" max="4" width="47" bestFit="1" customWidth="1"/>
    <col min="5" max="5" width="29" bestFit="1" customWidth="1"/>
    <col min="6" max="6" width="22.7109375" bestFit="1" customWidth="1"/>
  </cols>
  <sheetData>
    <row r="1" spans="1:6" x14ac:dyDescent="0.25">
      <c r="A1" s="41" t="s">
        <v>0</v>
      </c>
      <c r="B1" s="41"/>
      <c r="C1" s="41"/>
      <c r="D1" s="41"/>
      <c r="E1" s="41"/>
      <c r="F1" s="41"/>
    </row>
    <row r="2" spans="1:6" x14ac:dyDescent="0.25">
      <c r="A2" t="s">
        <v>1</v>
      </c>
      <c r="B2" t="s">
        <v>56</v>
      </c>
      <c r="C2" t="s">
        <v>57</v>
      </c>
      <c r="D2" t="s">
        <v>60</v>
      </c>
      <c r="E2" t="s">
        <v>396</v>
      </c>
      <c r="F2" t="s">
        <v>90</v>
      </c>
    </row>
    <row r="3" spans="1:6" s="2" customFormat="1" x14ac:dyDescent="0.25">
      <c r="A3" s="13" t="s">
        <v>44</v>
      </c>
      <c r="B3" s="13" t="s">
        <v>199</v>
      </c>
      <c r="C3" s="13" t="s">
        <v>67</v>
      </c>
      <c r="D3" s="13"/>
      <c r="E3" s="13"/>
      <c r="F3" s="13"/>
    </row>
    <row r="4" spans="1:6" s="3" customFormat="1" x14ac:dyDescent="0.25">
      <c r="A4" s="15" t="s">
        <v>28</v>
      </c>
      <c r="B4" s="15" t="s">
        <v>320</v>
      </c>
      <c r="C4" s="15" t="s">
        <v>68</v>
      </c>
      <c r="D4" s="15" t="s">
        <v>71</v>
      </c>
      <c r="E4" s="15" t="s">
        <v>72</v>
      </c>
      <c r="F4" s="15" t="s">
        <v>304</v>
      </c>
    </row>
    <row r="5" spans="1:6" s="3" customFormat="1" x14ac:dyDescent="0.25">
      <c r="A5" s="15" t="s">
        <v>53</v>
      </c>
      <c r="B5" s="15" t="s">
        <v>305</v>
      </c>
      <c r="C5" s="15" t="s">
        <v>85</v>
      </c>
      <c r="D5" s="15" t="s">
        <v>468</v>
      </c>
      <c r="E5" s="15" t="s">
        <v>311</v>
      </c>
      <c r="F5" s="15"/>
    </row>
    <row r="6" spans="1:6" s="3" customFormat="1" x14ac:dyDescent="0.25">
      <c r="A6" s="15" t="s">
        <v>5</v>
      </c>
      <c r="B6" s="15" t="s">
        <v>252</v>
      </c>
      <c r="C6" s="15" t="s">
        <v>58</v>
      </c>
      <c r="D6" s="15" t="s">
        <v>469</v>
      </c>
      <c r="E6" s="15"/>
      <c r="F6" s="15" t="s">
        <v>304</v>
      </c>
    </row>
    <row r="7" spans="1:6" s="3" customFormat="1" x14ac:dyDescent="0.25">
      <c r="A7" s="15" t="s">
        <v>6</v>
      </c>
      <c r="B7" s="15" t="s">
        <v>254</v>
      </c>
      <c r="C7" s="15" t="s">
        <v>63</v>
      </c>
      <c r="D7" s="15" t="s">
        <v>470</v>
      </c>
      <c r="E7" s="15"/>
      <c r="F7" s="15" t="s">
        <v>304</v>
      </c>
    </row>
    <row r="8" spans="1:6" s="3" customFormat="1" x14ac:dyDescent="0.25">
      <c r="A8" s="15" t="s">
        <v>7</v>
      </c>
      <c r="B8" s="15" t="s">
        <v>256</v>
      </c>
      <c r="C8" s="15" t="s">
        <v>63</v>
      </c>
      <c r="D8" s="15" t="s">
        <v>466</v>
      </c>
      <c r="E8" s="15"/>
      <c r="F8" s="15" t="s">
        <v>304</v>
      </c>
    </row>
    <row r="9" spans="1:6" s="3" customFormat="1" x14ac:dyDescent="0.25">
      <c r="A9" s="15" t="s">
        <v>8</v>
      </c>
      <c r="B9" s="15" t="s">
        <v>258</v>
      </c>
      <c r="C9" s="15" t="s">
        <v>66</v>
      </c>
      <c r="D9" s="15" t="s">
        <v>467</v>
      </c>
      <c r="E9" s="15"/>
      <c r="F9" s="15" t="s">
        <v>304</v>
      </c>
    </row>
    <row r="10" spans="1:6" s="3" customFormat="1" x14ac:dyDescent="0.25">
      <c r="A10" s="15" t="s">
        <v>13</v>
      </c>
      <c r="B10" s="15" t="s">
        <v>276</v>
      </c>
      <c r="C10" s="15" t="s">
        <v>66</v>
      </c>
      <c r="D10" s="15" t="s">
        <v>467</v>
      </c>
      <c r="E10" s="15"/>
      <c r="F10" s="15" t="s">
        <v>304</v>
      </c>
    </row>
    <row r="11" spans="1:6" s="3" customFormat="1" x14ac:dyDescent="0.25">
      <c r="A11" s="15" t="s">
        <v>15</v>
      </c>
      <c r="B11" s="15" t="s">
        <v>280</v>
      </c>
      <c r="C11" s="15" t="s">
        <v>66</v>
      </c>
      <c r="D11" s="15" t="s">
        <v>467</v>
      </c>
      <c r="E11" s="15"/>
      <c r="F11" s="15" t="s">
        <v>304</v>
      </c>
    </row>
    <row r="12" spans="1:6" s="2" customFormat="1" x14ac:dyDescent="0.25">
      <c r="A12" s="3" t="s">
        <v>30</v>
      </c>
      <c r="B12" s="3" t="s">
        <v>140</v>
      </c>
      <c r="C12" s="3" t="s">
        <v>65</v>
      </c>
      <c r="D12" s="3" t="s">
        <v>73</v>
      </c>
      <c r="E12" s="3" t="s">
        <v>72</v>
      </c>
      <c r="F12" s="3" t="s">
        <v>94</v>
      </c>
    </row>
    <row r="13" spans="1:6" s="3" customFormat="1" x14ac:dyDescent="0.25">
      <c r="A13" s="3" t="s">
        <v>33</v>
      </c>
      <c r="B13" s="3" t="s">
        <v>151</v>
      </c>
      <c r="C13" s="3" t="s">
        <v>65</v>
      </c>
      <c r="D13" s="3" t="s">
        <v>75</v>
      </c>
      <c r="E13" s="3" t="s">
        <v>72</v>
      </c>
      <c r="F13" s="3" t="s">
        <v>93</v>
      </c>
    </row>
    <row r="14" spans="1:6" s="2" customFormat="1" x14ac:dyDescent="0.25">
      <c r="A14" s="3" t="s">
        <v>34</v>
      </c>
      <c r="B14" s="3" t="s">
        <v>155</v>
      </c>
      <c r="C14" s="3" t="s">
        <v>76</v>
      </c>
      <c r="D14" s="3" t="s">
        <v>77</v>
      </c>
      <c r="E14" s="3"/>
      <c r="F14" s="3" t="s">
        <v>95</v>
      </c>
    </row>
    <row r="15" spans="1:6" s="2" customFormat="1" x14ac:dyDescent="0.25">
      <c r="A15" s="3" t="s">
        <v>35</v>
      </c>
      <c r="B15" s="3" t="s">
        <v>160</v>
      </c>
      <c r="C15" s="3" t="s">
        <v>76</v>
      </c>
      <c r="D15" s="3" t="s">
        <v>78</v>
      </c>
      <c r="E15" s="3"/>
      <c r="F15" s="3" t="s">
        <v>95</v>
      </c>
    </row>
    <row r="16" spans="1:6" s="2" customFormat="1" x14ac:dyDescent="0.25">
      <c r="A16" s="3" t="s">
        <v>31</v>
      </c>
      <c r="B16" s="3" t="s">
        <v>144</v>
      </c>
      <c r="C16" s="3" t="s">
        <v>65</v>
      </c>
      <c r="D16" s="3" t="s">
        <v>74</v>
      </c>
      <c r="E16" s="3" t="s">
        <v>72</v>
      </c>
      <c r="F16" s="3" t="s">
        <v>93</v>
      </c>
    </row>
    <row r="17" spans="1:6" s="2" customFormat="1" x14ac:dyDescent="0.25">
      <c r="A17" s="3" t="s">
        <v>32</v>
      </c>
      <c r="B17" s="3" t="s">
        <v>148</v>
      </c>
      <c r="C17" s="3" t="s">
        <v>65</v>
      </c>
      <c r="D17" s="3" t="s">
        <v>74</v>
      </c>
      <c r="E17" s="3" t="s">
        <v>72</v>
      </c>
      <c r="F17" s="3" t="s">
        <v>93</v>
      </c>
    </row>
    <row r="18" spans="1:6" s="3" customFormat="1" x14ac:dyDescent="0.25">
      <c r="A18" s="15" t="s">
        <v>36</v>
      </c>
      <c r="B18" s="15" t="s">
        <v>164</v>
      </c>
      <c r="C18" s="15" t="s">
        <v>58</v>
      </c>
      <c r="D18" s="15" t="s">
        <v>79</v>
      </c>
      <c r="E18" s="15" t="s">
        <v>310</v>
      </c>
      <c r="F18" s="15" t="s">
        <v>96</v>
      </c>
    </row>
    <row r="19" spans="1:6" s="4" customFormat="1" x14ac:dyDescent="0.25">
      <c r="A19" s="4" t="s">
        <v>17</v>
      </c>
      <c r="B19" s="4" t="s">
        <v>285</v>
      </c>
      <c r="C19" s="4" t="s">
        <v>463</v>
      </c>
      <c r="D19" s="4" t="s">
        <v>64</v>
      </c>
    </row>
    <row r="20" spans="1:6" s="11" customFormat="1" x14ac:dyDescent="0.25">
      <c r="A20" s="14" t="s">
        <v>37</v>
      </c>
      <c r="B20" s="14" t="s">
        <v>168</v>
      </c>
      <c r="C20" s="14" t="s">
        <v>58</v>
      </c>
      <c r="D20" s="14" t="s">
        <v>80</v>
      </c>
      <c r="E20" s="14" t="s">
        <v>310</v>
      </c>
      <c r="F20" s="14"/>
    </row>
    <row r="21" spans="1:6" s="10" customFormat="1" x14ac:dyDescent="0.25">
      <c r="A21" s="15" t="s">
        <v>313</v>
      </c>
      <c r="B21" s="15" t="s">
        <v>321</v>
      </c>
      <c r="C21" s="15" t="s">
        <v>328</v>
      </c>
      <c r="D21" s="15" t="s">
        <v>388</v>
      </c>
      <c r="E21" s="15" t="s">
        <v>398</v>
      </c>
      <c r="F21"/>
    </row>
    <row r="22" spans="1:6" s="3" customFormat="1" x14ac:dyDescent="0.25">
      <c r="A22" s="3" t="s">
        <v>38</v>
      </c>
      <c r="B22" s="3" t="s">
        <v>173</v>
      </c>
      <c r="C22" s="3" t="s">
        <v>82</v>
      </c>
      <c r="D22" s="3" t="s">
        <v>81</v>
      </c>
      <c r="F22" s="3" t="s">
        <v>95</v>
      </c>
    </row>
    <row r="23" spans="1:6" s="3" customFormat="1" x14ac:dyDescent="0.25">
      <c r="A23" s="3" t="s">
        <v>39</v>
      </c>
      <c r="B23" s="3" t="s">
        <v>176</v>
      </c>
      <c r="C23" s="3" t="s">
        <v>83</v>
      </c>
      <c r="D23" s="3" t="s">
        <v>84</v>
      </c>
      <c r="F23" s="3" t="s">
        <v>97</v>
      </c>
    </row>
    <row r="24" spans="1:6" s="4" customFormat="1" x14ac:dyDescent="0.25">
      <c r="A24" s="15" t="s">
        <v>404</v>
      </c>
      <c r="B24" s="15" t="s">
        <v>405</v>
      </c>
      <c r="C24" s="15" t="s">
        <v>399</v>
      </c>
      <c r="D24" s="15" t="s">
        <v>418</v>
      </c>
      <c r="E24" s="15" t="s">
        <v>311</v>
      </c>
      <c r="F24"/>
    </row>
    <row r="25" spans="1:6" s="3" customFormat="1" x14ac:dyDescent="0.25">
      <c r="A25" s="15" t="s">
        <v>382</v>
      </c>
      <c r="B25" s="15" t="s">
        <v>441</v>
      </c>
      <c r="C25" s="15" t="s">
        <v>370</v>
      </c>
      <c r="D25" s="15" t="s">
        <v>389</v>
      </c>
      <c r="E25" s="15" t="s">
        <v>398</v>
      </c>
      <c r="F25"/>
    </row>
    <row r="26" spans="1:6" s="3" customFormat="1" x14ac:dyDescent="0.25">
      <c r="A26" s="15" t="s">
        <v>40</v>
      </c>
      <c r="B26" s="15" t="s">
        <v>179</v>
      </c>
      <c r="C26" s="15" t="s">
        <v>85</v>
      </c>
      <c r="D26" s="15"/>
      <c r="E26" s="15" t="s">
        <v>311</v>
      </c>
      <c r="F26" s="15"/>
    </row>
    <row r="27" spans="1:6" s="4" customFormat="1" x14ac:dyDescent="0.25">
      <c r="A27" s="15" t="s">
        <v>434</v>
      </c>
      <c r="B27" s="15" t="s">
        <v>423</v>
      </c>
      <c r="C27" s="15" t="s">
        <v>424</v>
      </c>
      <c r="D27" s="15" t="s">
        <v>448</v>
      </c>
      <c r="E27" s="15"/>
      <c r="F27" s="15"/>
    </row>
    <row r="28" spans="1:6" s="11" customFormat="1" x14ac:dyDescent="0.25">
      <c r="A28" s="14" t="s">
        <v>435</v>
      </c>
      <c r="B28" s="14" t="s">
        <v>425</v>
      </c>
      <c r="C28" s="14" t="s">
        <v>424</v>
      </c>
      <c r="D28" s="14" t="s">
        <v>449</v>
      </c>
      <c r="E28" s="14"/>
      <c r="F28" s="14"/>
    </row>
    <row r="29" spans="1:6" s="14" customFormat="1" x14ac:dyDescent="0.25">
      <c r="A29" s="14" t="s">
        <v>436</v>
      </c>
      <c r="B29" s="14" t="s">
        <v>426</v>
      </c>
      <c r="C29" s="14" t="s">
        <v>424</v>
      </c>
      <c r="D29" s="14" t="s">
        <v>449</v>
      </c>
    </row>
    <row r="30" spans="1:6" s="14" customFormat="1" x14ac:dyDescent="0.25">
      <c r="A30" s="14" t="s">
        <v>437</v>
      </c>
      <c r="B30" s="14" t="s">
        <v>427</v>
      </c>
      <c r="C30" s="14" t="s">
        <v>424</v>
      </c>
      <c r="D30" s="14" t="s">
        <v>448</v>
      </c>
    </row>
    <row r="31" spans="1:6" s="14" customFormat="1" x14ac:dyDescent="0.25">
      <c r="A31" s="14" t="s">
        <v>383</v>
      </c>
      <c r="B31" s="14" t="s">
        <v>442</v>
      </c>
      <c r="C31" s="14" t="s">
        <v>370</v>
      </c>
      <c r="D31" s="14" t="s">
        <v>390</v>
      </c>
      <c r="E31" s="14" t="s">
        <v>398</v>
      </c>
      <c r="F31" s="18"/>
    </row>
    <row r="32" spans="1:6" s="3" customFormat="1" x14ac:dyDescent="0.25">
      <c r="A32" s="3" t="s">
        <v>41</v>
      </c>
      <c r="B32" s="3" t="s">
        <v>184</v>
      </c>
      <c r="C32" s="3" t="s">
        <v>85</v>
      </c>
      <c r="E32" s="3" t="s">
        <v>311</v>
      </c>
    </row>
    <row r="33" spans="1:6" s="3" customFormat="1" x14ac:dyDescent="0.25">
      <c r="A33" s="3" t="s">
        <v>18</v>
      </c>
      <c r="B33" s="3" t="s">
        <v>287</v>
      </c>
      <c r="C33" s="3" t="s">
        <v>66</v>
      </c>
      <c r="E33" s="3" t="s">
        <v>311</v>
      </c>
    </row>
    <row r="34" spans="1:6" s="3" customFormat="1" x14ac:dyDescent="0.25">
      <c r="A34" s="15" t="s">
        <v>19</v>
      </c>
      <c r="B34" s="15" t="s">
        <v>291</v>
      </c>
      <c r="C34" s="15" t="s">
        <v>66</v>
      </c>
      <c r="D34" s="15"/>
      <c r="E34" s="15" t="s">
        <v>311</v>
      </c>
      <c r="F34" s="15"/>
    </row>
    <row r="35" spans="1:6" s="3" customFormat="1" x14ac:dyDescent="0.25">
      <c r="A35" s="15" t="s">
        <v>42</v>
      </c>
      <c r="B35" s="15" t="s">
        <v>189</v>
      </c>
      <c r="C35" s="15" t="s">
        <v>85</v>
      </c>
      <c r="D35" s="15"/>
      <c r="E35" s="15" t="s">
        <v>311</v>
      </c>
      <c r="F35" s="15"/>
    </row>
    <row r="36" spans="1:6" s="3" customFormat="1" x14ac:dyDescent="0.25">
      <c r="A36" s="15" t="s">
        <v>43</v>
      </c>
      <c r="B36" s="15" t="s">
        <v>194</v>
      </c>
      <c r="C36" s="15" t="s">
        <v>98</v>
      </c>
      <c r="D36" s="15" t="s">
        <v>99</v>
      </c>
      <c r="E36" s="15"/>
      <c r="F36" s="15" t="s">
        <v>100</v>
      </c>
    </row>
    <row r="37" spans="1:6" s="11" customFormat="1" x14ac:dyDescent="0.25">
      <c r="A37" s="14" t="s">
        <v>409</v>
      </c>
      <c r="B37" s="14" t="s">
        <v>410</v>
      </c>
      <c r="C37" s="14" t="s">
        <v>400</v>
      </c>
      <c r="D37" s="14" t="s">
        <v>85</v>
      </c>
      <c r="E37" s="14" t="s">
        <v>311</v>
      </c>
      <c r="F37" s="18"/>
    </row>
    <row r="38" spans="1:6" s="11" customFormat="1" x14ac:dyDescent="0.25">
      <c r="A38" s="14" t="s">
        <v>384</v>
      </c>
      <c r="B38" s="14" t="s">
        <v>443</v>
      </c>
      <c r="C38" s="14" t="s">
        <v>367</v>
      </c>
      <c r="D38" s="14" t="s">
        <v>85</v>
      </c>
      <c r="E38" s="14" t="s">
        <v>398</v>
      </c>
      <c r="F38" s="18"/>
    </row>
    <row r="39" spans="1:6" s="11" customFormat="1" x14ac:dyDescent="0.25">
      <c r="A39" s="14" t="s">
        <v>438</v>
      </c>
      <c r="B39" s="14" t="s">
        <v>428</v>
      </c>
      <c r="C39" s="14" t="s">
        <v>429</v>
      </c>
      <c r="D39" s="14" t="s">
        <v>446</v>
      </c>
      <c r="E39" s="14" t="s">
        <v>311</v>
      </c>
      <c r="F39" s="14"/>
    </row>
    <row r="40" spans="1:6" s="11" customFormat="1" x14ac:dyDescent="0.25">
      <c r="A40" s="14" t="s">
        <v>439</v>
      </c>
      <c r="B40" s="14" t="s">
        <v>430</v>
      </c>
      <c r="C40" s="14" t="s">
        <v>431</v>
      </c>
      <c r="D40" s="14" t="s">
        <v>446</v>
      </c>
      <c r="E40" s="14" t="s">
        <v>311</v>
      </c>
      <c r="F40" s="14"/>
    </row>
    <row r="41" spans="1:6" x14ac:dyDescent="0.25">
      <c r="A41" s="15" t="s">
        <v>385</v>
      </c>
      <c r="B41" s="15" t="s">
        <v>406</v>
      </c>
      <c r="C41" s="15" t="s">
        <v>370</v>
      </c>
      <c r="D41" s="15" t="s">
        <v>391</v>
      </c>
      <c r="E41" s="15" t="s">
        <v>398</v>
      </c>
      <c r="F41" s="19"/>
    </row>
    <row r="42" spans="1:6" s="3" customFormat="1" x14ac:dyDescent="0.25">
      <c r="A42" s="15" t="s">
        <v>407</v>
      </c>
      <c r="B42" s="15" t="s">
        <v>408</v>
      </c>
      <c r="C42" s="15" t="s">
        <v>399</v>
      </c>
      <c r="D42" s="15" t="s">
        <v>420</v>
      </c>
      <c r="E42" s="15" t="s">
        <v>311</v>
      </c>
      <c r="F42"/>
    </row>
    <row r="43" spans="1:6" s="11" customFormat="1" x14ac:dyDescent="0.25">
      <c r="A43" s="22" t="s">
        <v>45</v>
      </c>
      <c r="B43" s="22" t="s">
        <v>202</v>
      </c>
      <c r="C43" s="22" t="s">
        <v>66</v>
      </c>
      <c r="D43" s="22" t="s">
        <v>464</v>
      </c>
      <c r="E43" s="22"/>
      <c r="F43" s="22"/>
    </row>
    <row r="44" spans="1:6" s="3" customFormat="1" x14ac:dyDescent="0.25">
      <c r="A44" s="15" t="s">
        <v>440</v>
      </c>
      <c r="B44" s="15" t="s">
        <v>432</v>
      </c>
      <c r="C44" s="15" t="s">
        <v>433</v>
      </c>
      <c r="D44" s="15" t="s">
        <v>447</v>
      </c>
      <c r="E44" s="15" t="s">
        <v>311</v>
      </c>
      <c r="F44" s="15"/>
    </row>
    <row r="45" spans="1:6" s="3" customFormat="1" x14ac:dyDescent="0.25">
      <c r="A45" s="15" t="s">
        <v>386</v>
      </c>
      <c r="B45" s="15" t="s">
        <v>392</v>
      </c>
      <c r="C45" s="15" t="s">
        <v>363</v>
      </c>
      <c r="D45" s="15" t="s">
        <v>394</v>
      </c>
      <c r="E45" s="15" t="s">
        <v>415</v>
      </c>
      <c r="F45" s="19"/>
    </row>
    <row r="46" spans="1:6" s="2" customFormat="1" x14ac:dyDescent="0.25">
      <c r="A46" s="15" t="s">
        <v>386</v>
      </c>
      <c r="B46" s="15" t="s">
        <v>412</v>
      </c>
      <c r="C46" s="15" t="s">
        <v>402</v>
      </c>
      <c r="D46" s="17" t="s">
        <v>415</v>
      </c>
      <c r="E46" s="15"/>
      <c r="F46" s="19"/>
    </row>
    <row r="47" spans="1:6" x14ac:dyDescent="0.25">
      <c r="A47" s="15" t="s">
        <v>314</v>
      </c>
      <c r="B47" s="15" t="s">
        <v>444</v>
      </c>
      <c r="C47" s="15" t="s">
        <v>350</v>
      </c>
      <c r="D47" s="15" t="s">
        <v>393</v>
      </c>
      <c r="E47" s="15" t="s">
        <v>397</v>
      </c>
      <c r="F47" s="19"/>
    </row>
    <row r="48" spans="1:6" s="3" customFormat="1" x14ac:dyDescent="0.25">
      <c r="A48" s="15" t="s">
        <v>314</v>
      </c>
      <c r="B48" s="15" t="s">
        <v>411</v>
      </c>
      <c r="C48" s="15" t="s">
        <v>350</v>
      </c>
      <c r="D48" s="17" t="s">
        <v>415</v>
      </c>
      <c r="E48" s="15"/>
      <c r="F48"/>
    </row>
    <row r="49" spans="1:6" s="3" customFormat="1" x14ac:dyDescent="0.25">
      <c r="A49" s="15" t="s">
        <v>387</v>
      </c>
      <c r="B49" s="15" t="s">
        <v>395</v>
      </c>
      <c r="C49" s="15" t="s">
        <v>381</v>
      </c>
      <c r="D49" s="15" t="s">
        <v>85</v>
      </c>
      <c r="E49" s="15" t="s">
        <v>397</v>
      </c>
      <c r="F49" s="19"/>
    </row>
    <row r="50" spans="1:6" s="3" customFormat="1" x14ac:dyDescent="0.25">
      <c r="A50" s="15" t="s">
        <v>387</v>
      </c>
      <c r="B50" s="15" t="s">
        <v>445</v>
      </c>
      <c r="C50" s="15" t="s">
        <v>401</v>
      </c>
      <c r="D50" s="15"/>
      <c r="E50" s="15"/>
      <c r="F50" s="19"/>
    </row>
    <row r="51" spans="1:6" s="3" customFormat="1" x14ac:dyDescent="0.25">
      <c r="A51" s="3" t="s">
        <v>46</v>
      </c>
      <c r="B51" s="3" t="s">
        <v>205</v>
      </c>
      <c r="C51" s="3" t="s">
        <v>85</v>
      </c>
      <c r="E51" s="3" t="s">
        <v>311</v>
      </c>
    </row>
    <row r="52" spans="1:6" s="11" customFormat="1" x14ac:dyDescent="0.25">
      <c r="A52" s="14" t="s">
        <v>2</v>
      </c>
      <c r="B52" s="14" t="s">
        <v>245</v>
      </c>
      <c r="C52" s="14" t="s">
        <v>58</v>
      </c>
      <c r="D52" s="14" t="s">
        <v>59</v>
      </c>
      <c r="E52" s="14" t="s">
        <v>465</v>
      </c>
      <c r="F52" s="14" t="s">
        <v>89</v>
      </c>
    </row>
    <row r="53" spans="1:6" s="3" customFormat="1" x14ac:dyDescent="0.25">
      <c r="A53" s="3" t="s">
        <v>4</v>
      </c>
      <c r="B53" s="3" t="s">
        <v>250</v>
      </c>
      <c r="C53" s="3" t="s">
        <v>58</v>
      </c>
      <c r="D53" s="3" t="s">
        <v>62</v>
      </c>
    </row>
    <row r="54" spans="1:6" s="3" customFormat="1" x14ac:dyDescent="0.25">
      <c r="A54" s="3" t="s">
        <v>23</v>
      </c>
      <c r="B54" s="3" t="s">
        <v>307</v>
      </c>
      <c r="C54" s="3" t="s">
        <v>88</v>
      </c>
      <c r="D54" s="3" t="s">
        <v>309</v>
      </c>
      <c r="F54" s="3" t="s">
        <v>91</v>
      </c>
    </row>
    <row r="55" spans="1:6" s="3" customFormat="1" x14ac:dyDescent="0.25">
      <c r="A55" s="15" t="s">
        <v>24</v>
      </c>
      <c r="B55" s="15" t="s">
        <v>308</v>
      </c>
      <c r="C55" s="15" t="s">
        <v>58</v>
      </c>
      <c r="D55" s="15" t="s">
        <v>309</v>
      </c>
      <c r="E55" s="15"/>
      <c r="F55" s="3" t="s">
        <v>91</v>
      </c>
    </row>
    <row r="56" spans="1:6" x14ac:dyDescent="0.25">
      <c r="A56" s="15" t="s">
        <v>3</v>
      </c>
      <c r="B56" s="15" t="s">
        <v>248</v>
      </c>
      <c r="C56" s="15" t="s">
        <v>58</v>
      </c>
      <c r="D56" s="15" t="s">
        <v>61</v>
      </c>
      <c r="E56" s="15"/>
      <c r="F56" s="15"/>
    </row>
    <row r="57" spans="1:6" x14ac:dyDescent="0.25">
      <c r="A57" s="15" t="s">
        <v>25</v>
      </c>
      <c r="B57" s="15" t="s">
        <v>118</v>
      </c>
      <c r="C57" s="15" t="s">
        <v>66</v>
      </c>
      <c r="D57" s="15" t="s">
        <v>309</v>
      </c>
      <c r="E57" s="15"/>
      <c r="F57" s="15" t="s">
        <v>92</v>
      </c>
    </row>
    <row r="58" spans="1:6" x14ac:dyDescent="0.25">
      <c r="A58" s="6" t="s">
        <v>9</v>
      </c>
      <c r="B58" s="6" t="s">
        <v>260</v>
      </c>
      <c r="C58" s="6" t="s">
        <v>66</v>
      </c>
      <c r="D58" s="6" t="s">
        <v>85</v>
      </c>
      <c r="E58" s="6" t="s">
        <v>311</v>
      </c>
      <c r="F58" s="15" t="s">
        <v>304</v>
      </c>
    </row>
    <row r="59" spans="1:6" x14ac:dyDescent="0.25">
      <c r="A59" s="6" t="s">
        <v>10</v>
      </c>
      <c r="B59" s="6" t="s">
        <v>264</v>
      </c>
      <c r="C59" s="6" t="s">
        <v>66</v>
      </c>
      <c r="D59" s="6" t="s">
        <v>85</v>
      </c>
      <c r="E59" s="6" t="s">
        <v>311</v>
      </c>
      <c r="F59" s="15" t="s">
        <v>304</v>
      </c>
    </row>
    <row r="60" spans="1:6" x14ac:dyDescent="0.25">
      <c r="A60" s="6" t="s">
        <v>11</v>
      </c>
      <c r="B60" s="6" t="s">
        <v>268</v>
      </c>
      <c r="C60" s="6" t="s">
        <v>66</v>
      </c>
      <c r="D60" s="6" t="s">
        <v>85</v>
      </c>
      <c r="E60" s="6" t="s">
        <v>311</v>
      </c>
      <c r="F60" s="3" t="s">
        <v>304</v>
      </c>
    </row>
    <row r="61" spans="1:6" x14ac:dyDescent="0.25">
      <c r="A61" s="6" t="s">
        <v>12</v>
      </c>
      <c r="B61" s="6" t="s">
        <v>272</v>
      </c>
      <c r="C61" s="6" t="s">
        <v>66</v>
      </c>
      <c r="D61" s="6" t="s">
        <v>85</v>
      </c>
      <c r="E61" s="6" t="s">
        <v>311</v>
      </c>
      <c r="F61" s="3" t="s">
        <v>304</v>
      </c>
    </row>
    <row r="62" spans="1:6" x14ac:dyDescent="0.25">
      <c r="A62" s="6" t="s">
        <v>26</v>
      </c>
      <c r="B62" s="6" t="s">
        <v>123</v>
      </c>
      <c r="C62" s="6" t="s">
        <v>65</v>
      </c>
      <c r="D62" s="6" t="s">
        <v>70</v>
      </c>
      <c r="E62" s="6"/>
      <c r="F62" s="15" t="s">
        <v>91</v>
      </c>
    </row>
    <row r="63" spans="1:6" x14ac:dyDescent="0.25">
      <c r="A63" s="6" t="s">
        <v>27</v>
      </c>
      <c r="B63" s="6" t="s">
        <v>126</v>
      </c>
      <c r="C63" s="6" t="s">
        <v>68</v>
      </c>
      <c r="D63" s="6" t="s">
        <v>69</v>
      </c>
      <c r="E63" s="6"/>
      <c r="F63" s="3" t="s">
        <v>93</v>
      </c>
    </row>
    <row r="64" spans="1:6" x14ac:dyDescent="0.25">
      <c r="A64" s="6" t="s">
        <v>29</v>
      </c>
      <c r="B64" s="6" t="s">
        <v>134</v>
      </c>
      <c r="C64" s="6" t="s">
        <v>66</v>
      </c>
      <c r="D64" s="6"/>
      <c r="E64" s="6" t="s">
        <v>64</v>
      </c>
      <c r="F64" s="3"/>
    </row>
    <row r="65" spans="1:6" x14ac:dyDescent="0.25">
      <c r="A65" s="6" t="s">
        <v>47</v>
      </c>
      <c r="B65" s="6" t="s">
        <v>210</v>
      </c>
      <c r="C65" s="6" t="s">
        <v>85</v>
      </c>
      <c r="D65" s="6"/>
      <c r="E65" s="6" t="s">
        <v>311</v>
      </c>
      <c r="F65" s="3" t="s">
        <v>101</v>
      </c>
    </row>
    <row r="66" spans="1:6" x14ac:dyDescent="0.25">
      <c r="A66" s="6" t="s">
        <v>48</v>
      </c>
      <c r="B66" s="6" t="s">
        <v>215</v>
      </c>
      <c r="C66" s="6" t="s">
        <v>85</v>
      </c>
      <c r="D66" s="6"/>
      <c r="E66" s="6" t="s">
        <v>311</v>
      </c>
      <c r="F66" s="3"/>
    </row>
    <row r="67" spans="1:6" x14ac:dyDescent="0.25">
      <c r="A67" s="6" t="s">
        <v>49</v>
      </c>
      <c r="B67" s="6" t="s">
        <v>220</v>
      </c>
      <c r="C67" s="6" t="s">
        <v>312</v>
      </c>
      <c r="D67" s="6"/>
      <c r="E67" s="6" t="s">
        <v>311</v>
      </c>
      <c r="F67" s="3" t="s">
        <v>102</v>
      </c>
    </row>
    <row r="68" spans="1:6" x14ac:dyDescent="0.25">
      <c r="A68" s="6" t="s">
        <v>50</v>
      </c>
      <c r="B68" s="6" t="s">
        <v>225</v>
      </c>
      <c r="C68" s="6" t="s">
        <v>86</v>
      </c>
      <c r="D68" s="6"/>
      <c r="E68" s="6" t="s">
        <v>311</v>
      </c>
      <c r="F68" s="3"/>
    </row>
    <row r="69" spans="1:6" x14ac:dyDescent="0.25">
      <c r="A69" s="6" t="s">
        <v>51</v>
      </c>
      <c r="B69" s="6" t="s">
        <v>228</v>
      </c>
      <c r="C69" s="6" t="s">
        <v>86</v>
      </c>
      <c r="D69" s="6"/>
      <c r="E69" s="6" t="s">
        <v>311</v>
      </c>
      <c r="F69" s="3"/>
    </row>
    <row r="70" spans="1:6" x14ac:dyDescent="0.25">
      <c r="A70" s="6" t="s">
        <v>52</v>
      </c>
      <c r="B70" s="6" t="s">
        <v>232</v>
      </c>
      <c r="C70" s="6" t="s">
        <v>86</v>
      </c>
      <c r="D70" s="6"/>
      <c r="E70" s="6" t="s">
        <v>311</v>
      </c>
      <c r="F70" s="15"/>
    </row>
    <row r="71" spans="1:6" x14ac:dyDescent="0.25">
      <c r="A71" s="5" t="s">
        <v>54</v>
      </c>
      <c r="B71" s="5" t="s">
        <v>306</v>
      </c>
      <c r="C71" s="5"/>
      <c r="D71" s="5"/>
      <c r="E71" s="5"/>
    </row>
    <row r="72" spans="1:6" x14ac:dyDescent="0.25">
      <c r="A72" s="7" t="s">
        <v>413</v>
      </c>
      <c r="B72" s="7" t="s">
        <v>414</v>
      </c>
      <c r="C72" s="7" t="s">
        <v>403</v>
      </c>
      <c r="D72" s="7" t="s">
        <v>422</v>
      </c>
      <c r="E72" s="7"/>
    </row>
    <row r="73" spans="1:6" x14ac:dyDescent="0.25">
      <c r="A73" s="5" t="s">
        <v>55</v>
      </c>
      <c r="B73" s="5" t="s">
        <v>242</v>
      </c>
      <c r="C73" s="5" t="s">
        <v>83</v>
      </c>
      <c r="D73" s="5" t="s">
        <v>87</v>
      </c>
      <c r="E73" s="5"/>
      <c r="F73" t="s">
        <v>103</v>
      </c>
    </row>
    <row r="74" spans="1:6" s="12" customFormat="1" x14ac:dyDescent="0.25">
      <c r="A74" s="3" t="s">
        <v>20</v>
      </c>
      <c r="B74" s="3" t="s">
        <v>295</v>
      </c>
      <c r="C74" s="3" t="s">
        <v>85</v>
      </c>
      <c r="D74" s="3" t="s">
        <v>311</v>
      </c>
      <c r="E74" s="3"/>
      <c r="F74" s="3"/>
    </row>
    <row r="75" spans="1:6" s="12" customFormat="1" x14ac:dyDescent="0.25">
      <c r="A75" s="4" t="s">
        <v>21</v>
      </c>
      <c r="B75" s="4" t="s">
        <v>299</v>
      </c>
      <c r="C75" s="4" t="s">
        <v>88</v>
      </c>
      <c r="D75" s="4" t="s">
        <v>64</v>
      </c>
      <c r="E75" s="4"/>
      <c r="F75" s="4"/>
    </row>
    <row r="76" spans="1:6" s="12" customFormat="1" x14ac:dyDescent="0.25">
      <c r="A76" s="4" t="s">
        <v>22</v>
      </c>
      <c r="B76" s="4" t="s">
        <v>302</v>
      </c>
      <c r="C76" s="4" t="s">
        <v>58</v>
      </c>
      <c r="D76" s="4" t="s">
        <v>64</v>
      </c>
      <c r="E76" s="4"/>
      <c r="F76" s="4"/>
    </row>
    <row r="77" spans="1:6" s="12" customFormat="1" x14ac:dyDescent="0.25">
      <c r="A77" s="3" t="s">
        <v>568</v>
      </c>
      <c r="B77" s="3" t="s">
        <v>543</v>
      </c>
      <c r="C77" s="3" t="s">
        <v>536</v>
      </c>
      <c r="D77" s="3"/>
      <c r="E77" s="3"/>
      <c r="F77" s="3"/>
    </row>
    <row r="78" spans="1:6" s="3" customFormat="1" x14ac:dyDescent="0.25">
      <c r="A78" s="3" t="s">
        <v>606</v>
      </c>
      <c r="B78" s="3" t="s">
        <v>607</v>
      </c>
      <c r="C78" s="3" t="s">
        <v>600</v>
      </c>
      <c r="F78"/>
    </row>
    <row r="79" spans="1:6" s="3" customFormat="1" x14ac:dyDescent="0.25">
      <c r="A79" s="3" t="s">
        <v>608</v>
      </c>
      <c r="B79" s="3" t="s">
        <v>609</v>
      </c>
      <c r="C79" s="3" t="s">
        <v>601</v>
      </c>
      <c r="F79"/>
    </row>
    <row r="80" spans="1:6" s="3" customFormat="1" x14ac:dyDescent="0.25">
      <c r="A80" s="3" t="s">
        <v>610</v>
      </c>
      <c r="B80" s="3" t="s">
        <v>611</v>
      </c>
      <c r="C80" s="3" t="s">
        <v>602</v>
      </c>
      <c r="F80"/>
    </row>
    <row r="81" spans="1:5" x14ac:dyDescent="0.25">
      <c r="A81" s="3" t="s">
        <v>612</v>
      </c>
      <c r="B81" s="3" t="s">
        <v>613</v>
      </c>
      <c r="C81" s="3" t="s">
        <v>602</v>
      </c>
      <c r="D81" s="3"/>
      <c r="E81" s="3"/>
    </row>
    <row r="82" spans="1:5" x14ac:dyDescent="0.25">
      <c r="A82" s="3" t="s">
        <v>614</v>
      </c>
      <c r="B82" s="3" t="s">
        <v>615</v>
      </c>
      <c r="C82" s="3" t="s">
        <v>602</v>
      </c>
      <c r="D82" s="3"/>
      <c r="E82" s="3"/>
    </row>
    <row r="83" spans="1:5" x14ac:dyDescent="0.25">
      <c r="A83" s="3" t="s">
        <v>616</v>
      </c>
      <c r="B83" s="3" t="s">
        <v>617</v>
      </c>
      <c r="C83" s="3" t="s">
        <v>602</v>
      </c>
      <c r="D83" s="3"/>
      <c r="E83" s="3"/>
    </row>
    <row r="84" spans="1:5" x14ac:dyDescent="0.25">
      <c r="A84" s="3" t="s">
        <v>618</v>
      </c>
      <c r="B84" s="3" t="s">
        <v>619</v>
      </c>
      <c r="C84" s="3" t="s">
        <v>602</v>
      </c>
      <c r="D84" s="3"/>
      <c r="E84" s="3"/>
    </row>
    <row r="85" spans="1:5" x14ac:dyDescent="0.25">
      <c r="A85" s="3" t="s">
        <v>620</v>
      </c>
      <c r="B85" s="3" t="s">
        <v>621</v>
      </c>
      <c r="C85" s="3" t="s">
        <v>602</v>
      </c>
      <c r="D85" s="3"/>
      <c r="E85" s="3"/>
    </row>
    <row r="86" spans="1:5" x14ac:dyDescent="0.25">
      <c r="A86" s="3" t="s">
        <v>622</v>
      </c>
      <c r="B86" s="3" t="s">
        <v>623</v>
      </c>
      <c r="C86" s="3" t="s">
        <v>602</v>
      </c>
      <c r="D86" s="3"/>
      <c r="E86" s="3"/>
    </row>
    <row r="87" spans="1:5" x14ac:dyDescent="0.25">
      <c r="A87" s="3" t="s">
        <v>624</v>
      </c>
      <c r="B87" s="3" t="s">
        <v>625</v>
      </c>
      <c r="C87" s="3" t="s">
        <v>601</v>
      </c>
      <c r="D87" s="3"/>
      <c r="E87" s="3"/>
    </row>
    <row r="88" spans="1:5" x14ac:dyDescent="0.25">
      <c r="A88" s="3" t="s">
        <v>569</v>
      </c>
      <c r="B88" s="3" t="s">
        <v>544</v>
      </c>
      <c r="C88" s="3" t="s">
        <v>537</v>
      </c>
      <c r="D88" s="3"/>
      <c r="E88" s="3"/>
    </row>
    <row r="89" spans="1:5" x14ac:dyDescent="0.25">
      <c r="A89" s="3" t="s">
        <v>570</v>
      </c>
      <c r="B89" s="3" t="s">
        <v>545</v>
      </c>
      <c r="C89" s="3" t="s">
        <v>538</v>
      </c>
      <c r="D89" s="3"/>
      <c r="E89" s="3"/>
    </row>
    <row r="90" spans="1:5" x14ac:dyDescent="0.25">
      <c r="A90" s="3" t="s">
        <v>626</v>
      </c>
      <c r="B90" s="3" t="s">
        <v>627</v>
      </c>
      <c r="C90" s="3" t="s">
        <v>601</v>
      </c>
      <c r="D90" s="3"/>
      <c r="E90" s="3"/>
    </row>
    <row r="91" spans="1:5" x14ac:dyDescent="0.25">
      <c r="A91" s="3" t="s">
        <v>628</v>
      </c>
      <c r="B91" s="3" t="s">
        <v>629</v>
      </c>
      <c r="C91" s="3" t="s">
        <v>601</v>
      </c>
      <c r="D91" s="3"/>
      <c r="E91" s="3"/>
    </row>
    <row r="92" spans="1:5" x14ac:dyDescent="0.25">
      <c r="A92" s="3" t="s">
        <v>630</v>
      </c>
      <c r="B92" s="3" t="s">
        <v>631</v>
      </c>
      <c r="C92" s="3" t="s">
        <v>601</v>
      </c>
      <c r="D92" s="3"/>
      <c r="E92" s="3"/>
    </row>
    <row r="93" spans="1:5" x14ac:dyDescent="0.25">
      <c r="A93" s="3" t="s">
        <v>632</v>
      </c>
      <c r="B93" s="3" t="s">
        <v>633</v>
      </c>
      <c r="C93" s="3" t="s">
        <v>601</v>
      </c>
      <c r="D93" s="3"/>
      <c r="E93" s="3"/>
    </row>
    <row r="94" spans="1:5" x14ac:dyDescent="0.25">
      <c r="A94" s="3" t="s">
        <v>634</v>
      </c>
      <c r="B94" s="3" t="s">
        <v>635</v>
      </c>
      <c r="C94" s="3" t="s">
        <v>601</v>
      </c>
      <c r="D94" s="3"/>
      <c r="E94" s="3"/>
    </row>
    <row r="95" spans="1:5" x14ac:dyDescent="0.25">
      <c r="A95" s="3" t="s">
        <v>636</v>
      </c>
      <c r="B95" s="3" t="s">
        <v>637</v>
      </c>
      <c r="C95" s="3" t="s">
        <v>601</v>
      </c>
      <c r="D95" s="3"/>
      <c r="E95" s="3"/>
    </row>
    <row r="96" spans="1:5" x14ac:dyDescent="0.25">
      <c r="A96" s="3" t="s">
        <v>638</v>
      </c>
      <c r="B96" s="3" t="s">
        <v>639</v>
      </c>
      <c r="C96" s="3" t="s">
        <v>601</v>
      </c>
      <c r="D96" s="3"/>
      <c r="E96" s="3"/>
    </row>
    <row r="97" spans="1:5" x14ac:dyDescent="0.25">
      <c r="A97" s="3" t="s">
        <v>640</v>
      </c>
      <c r="B97" s="3" t="s">
        <v>641</v>
      </c>
      <c r="C97" s="3" t="s">
        <v>600</v>
      </c>
      <c r="D97" s="3"/>
      <c r="E97" s="3"/>
    </row>
    <row r="98" spans="1:5" x14ac:dyDescent="0.25">
      <c r="A98" s="3" t="s">
        <v>642</v>
      </c>
      <c r="B98" s="3" t="s">
        <v>643</v>
      </c>
      <c r="C98" s="3" t="s">
        <v>601</v>
      </c>
      <c r="D98" s="3"/>
      <c r="E98" s="3"/>
    </row>
    <row r="99" spans="1:5" x14ac:dyDescent="0.25">
      <c r="A99" s="3" t="s">
        <v>644</v>
      </c>
      <c r="B99" s="3" t="s">
        <v>645</v>
      </c>
      <c r="C99" s="3" t="s">
        <v>601</v>
      </c>
      <c r="D99" s="3"/>
      <c r="E99" s="3"/>
    </row>
    <row r="100" spans="1:5" x14ac:dyDescent="0.25">
      <c r="A100" s="3" t="s">
        <v>506</v>
      </c>
      <c r="B100" s="3" t="s">
        <v>523</v>
      </c>
      <c r="C100" s="3" t="s">
        <v>493</v>
      </c>
      <c r="D100" s="3" t="s">
        <v>85</v>
      </c>
      <c r="E100" s="3" t="s">
        <v>311</v>
      </c>
    </row>
    <row r="101" spans="1:5" x14ac:dyDescent="0.25">
      <c r="A101" s="3" t="s">
        <v>649</v>
      </c>
      <c r="B101" s="3" t="s">
        <v>650</v>
      </c>
      <c r="C101" s="3" t="s">
        <v>604</v>
      </c>
      <c r="D101" s="3" t="s">
        <v>679</v>
      </c>
      <c r="E101" s="3" t="s">
        <v>311</v>
      </c>
    </row>
    <row r="102" spans="1:5" x14ac:dyDescent="0.25">
      <c r="A102" s="3" t="s">
        <v>651</v>
      </c>
      <c r="B102" s="3" t="s">
        <v>652</v>
      </c>
      <c r="C102" s="3" t="s">
        <v>604</v>
      </c>
      <c r="D102" s="3" t="s">
        <v>85</v>
      </c>
      <c r="E102" s="3" t="s">
        <v>311</v>
      </c>
    </row>
    <row r="103" spans="1:5" x14ac:dyDescent="0.25">
      <c r="A103" s="3" t="s">
        <v>653</v>
      </c>
      <c r="B103" s="3" t="s">
        <v>654</v>
      </c>
      <c r="C103" s="3" t="s">
        <v>605</v>
      </c>
      <c r="D103" s="3" t="s">
        <v>596</v>
      </c>
      <c r="E103" s="3" t="s">
        <v>311</v>
      </c>
    </row>
    <row r="104" spans="1:5" x14ac:dyDescent="0.25">
      <c r="A104" s="3" t="s">
        <v>655</v>
      </c>
      <c r="B104" s="3" t="s">
        <v>656</v>
      </c>
      <c r="C104" s="3" t="s">
        <v>605</v>
      </c>
      <c r="D104" s="3" t="s">
        <v>596</v>
      </c>
      <c r="E104" s="3" t="s">
        <v>311</v>
      </c>
    </row>
    <row r="105" spans="1:5" x14ac:dyDescent="0.25">
      <c r="A105" s="3" t="s">
        <v>660</v>
      </c>
      <c r="B105" s="3" t="s">
        <v>661</v>
      </c>
      <c r="C105" s="3" t="s">
        <v>604</v>
      </c>
      <c r="D105" s="3" t="s">
        <v>86</v>
      </c>
      <c r="E105" s="3" t="s">
        <v>311</v>
      </c>
    </row>
    <row r="106" spans="1:5" x14ac:dyDescent="0.25">
      <c r="A106" s="3" t="s">
        <v>662</v>
      </c>
      <c r="B106" s="3" t="s">
        <v>663</v>
      </c>
      <c r="C106" s="3" t="s">
        <v>604</v>
      </c>
      <c r="D106" s="3" t="s">
        <v>85</v>
      </c>
      <c r="E106" s="3" t="s">
        <v>311</v>
      </c>
    </row>
    <row r="107" spans="1:5" x14ac:dyDescent="0.25">
      <c r="A107" s="3" t="s">
        <v>664</v>
      </c>
      <c r="B107" s="3" t="s">
        <v>665</v>
      </c>
      <c r="C107" s="3" t="s">
        <v>600</v>
      </c>
      <c r="D107" s="3" t="s">
        <v>677</v>
      </c>
      <c r="E107" s="3" t="s">
        <v>311</v>
      </c>
    </row>
    <row r="108" spans="1:5" x14ac:dyDescent="0.25">
      <c r="A108" s="3" t="s">
        <v>666</v>
      </c>
      <c r="B108" s="3" t="s">
        <v>667</v>
      </c>
      <c r="C108" s="3" t="s">
        <v>604</v>
      </c>
      <c r="D108" s="3" t="s">
        <v>594</v>
      </c>
      <c r="E108" s="3" t="s">
        <v>311</v>
      </c>
    </row>
    <row r="109" spans="1:5" x14ac:dyDescent="0.25">
      <c r="A109" s="3" t="s">
        <v>671</v>
      </c>
      <c r="B109" s="3" t="s">
        <v>672</v>
      </c>
      <c r="C109" s="3" t="s">
        <v>600</v>
      </c>
      <c r="D109" s="3" t="s">
        <v>85</v>
      </c>
      <c r="E109" s="3" t="s">
        <v>311</v>
      </c>
    </row>
    <row r="110" spans="1:5" x14ac:dyDescent="0.25">
      <c r="A110" s="3" t="s">
        <v>589</v>
      </c>
      <c r="B110" s="3" t="s">
        <v>566</v>
      </c>
      <c r="C110" s="3" t="s">
        <v>539</v>
      </c>
      <c r="D110" s="3"/>
      <c r="E110" s="3" t="s">
        <v>311</v>
      </c>
    </row>
    <row r="111" spans="1:5" x14ac:dyDescent="0.25">
      <c r="A111" s="3" t="s">
        <v>673</v>
      </c>
      <c r="B111" s="3" t="s">
        <v>674</v>
      </c>
      <c r="C111" s="3" t="s">
        <v>601</v>
      </c>
      <c r="D111" s="3" t="s">
        <v>599</v>
      </c>
      <c r="E111" s="3" t="s">
        <v>311</v>
      </c>
    </row>
    <row r="112" spans="1:5" x14ac:dyDescent="0.25">
      <c r="A112" s="2" t="s">
        <v>507</v>
      </c>
      <c r="B112" s="2" t="s">
        <v>525</v>
      </c>
      <c r="C112" s="2" t="s">
        <v>496</v>
      </c>
      <c r="D112" s="2" t="s">
        <v>678</v>
      </c>
      <c r="E112" s="2" t="s">
        <v>683</v>
      </c>
    </row>
    <row r="113" spans="1:7" x14ac:dyDescent="0.25">
      <c r="A113" s="2" t="s">
        <v>647</v>
      </c>
      <c r="B113" s="2" t="s">
        <v>648</v>
      </c>
      <c r="C113" s="2" t="s">
        <v>603</v>
      </c>
      <c r="D113" s="2" t="s">
        <v>678</v>
      </c>
      <c r="E113" s="2" t="s">
        <v>683</v>
      </c>
    </row>
    <row r="114" spans="1:7" x14ac:dyDescent="0.25">
      <c r="A114" s="2" t="s">
        <v>509</v>
      </c>
      <c r="B114" s="2" t="s">
        <v>528</v>
      </c>
      <c r="C114" s="2" t="s">
        <v>497</v>
      </c>
      <c r="D114" s="2" t="s">
        <v>678</v>
      </c>
      <c r="E114" s="2" t="s">
        <v>683</v>
      </c>
    </row>
    <row r="115" spans="1:7" x14ac:dyDescent="0.25">
      <c r="A115" s="2" t="s">
        <v>510</v>
      </c>
      <c r="B115" s="2" t="s">
        <v>529</v>
      </c>
      <c r="C115" s="2" t="s">
        <v>497</v>
      </c>
      <c r="D115" s="2" t="s">
        <v>678</v>
      </c>
      <c r="E115" s="2" t="s">
        <v>683</v>
      </c>
    </row>
    <row r="116" spans="1:7" x14ac:dyDescent="0.25">
      <c r="A116" s="2" t="s">
        <v>54</v>
      </c>
      <c r="B116" s="2" t="s">
        <v>240</v>
      </c>
      <c r="C116" s="2" t="s">
        <v>327</v>
      </c>
      <c r="D116" s="2" t="s">
        <v>678</v>
      </c>
      <c r="E116" s="2" t="s">
        <v>683</v>
      </c>
    </row>
    <row r="117" spans="1:7" x14ac:dyDescent="0.25">
      <c r="A117" s="2" t="s">
        <v>669</v>
      </c>
      <c r="B117" s="2" t="s">
        <v>670</v>
      </c>
      <c r="C117" s="2" t="s">
        <v>604</v>
      </c>
      <c r="D117" s="2" t="s">
        <v>684</v>
      </c>
      <c r="E117" s="2"/>
    </row>
    <row r="118" spans="1:7" x14ac:dyDescent="0.25">
      <c r="A118" s="2" t="s">
        <v>477</v>
      </c>
      <c r="B118" s="2" t="s">
        <v>524</v>
      </c>
      <c r="C118" s="2" t="s">
        <v>452</v>
      </c>
      <c r="D118" s="2"/>
      <c r="E118" s="2"/>
    </row>
    <row r="119" spans="1:7" x14ac:dyDescent="0.25">
      <c r="A119" s="3" t="s">
        <v>844</v>
      </c>
      <c r="B119" s="3" t="s">
        <v>845</v>
      </c>
      <c r="C119" s="3" t="s">
        <v>841</v>
      </c>
      <c r="D119" s="3"/>
      <c r="E119" s="3" t="e">
        <f>VLOOKUP(A119,'Zipper 7-30'!A:A,1,0)</f>
        <v>#N/A</v>
      </c>
      <c r="F119" s="3"/>
      <c r="G119" s="3" t="s">
        <v>311</v>
      </c>
    </row>
    <row r="120" spans="1:7" x14ac:dyDescent="0.25">
      <c r="A120" s="3" t="s">
        <v>846</v>
      </c>
      <c r="B120" s="3" t="s">
        <v>847</v>
      </c>
      <c r="C120" s="3" t="s">
        <v>841</v>
      </c>
      <c r="D120" s="3"/>
      <c r="E120" s="3" t="e">
        <f>VLOOKUP(A120,'Zipper 7-30'!A:A,1,0)</f>
        <v>#N/A</v>
      </c>
      <c r="F120" s="3"/>
      <c r="G120" s="3" t="s">
        <v>311</v>
      </c>
    </row>
    <row r="121" spans="1:7" x14ac:dyDescent="0.25">
      <c r="A121" s="2" t="s">
        <v>22</v>
      </c>
      <c r="B121" s="2" t="s">
        <v>302</v>
      </c>
      <c r="C121" s="2" t="s">
        <v>333</v>
      </c>
      <c r="D121" s="2"/>
      <c r="E121" s="2" t="str">
        <f>VLOOKUP(A121,'Zipper 7-30'!A:A,1,0)</f>
        <v>192.168.250.131</v>
      </c>
      <c r="F121" s="2" t="str">
        <f>VLOOKUP(A121,'Zipper 7-30'!A:F,5,0)</f>
        <v>Contacted ITS-MDS-DIR</v>
      </c>
      <c r="G121" s="2"/>
    </row>
    <row r="122" spans="1:7" x14ac:dyDescent="0.25">
      <c r="A122" s="2" t="s">
        <v>2</v>
      </c>
      <c r="B122" s="2" t="s">
        <v>245</v>
      </c>
      <c r="C122" s="2" t="s">
        <v>374</v>
      </c>
      <c r="D122" s="2"/>
      <c r="E122" s="2" t="str">
        <f>VLOOKUP(A122,'Zipper 7-30'!A:A,1,0)</f>
        <v>10.51.0.21</v>
      </c>
      <c r="F122" s="2" t="str">
        <f>VLOOKUP(A122,'Zipper 7-30'!A:F,5,0)</f>
        <v>Windows TCASH</v>
      </c>
      <c r="G122" s="2" t="str">
        <f>VLOOKUP(A122,'Zipper 7-30'!A:F,6,0)</f>
        <v>Chad Brochill</v>
      </c>
    </row>
    <row r="123" spans="1:7" x14ac:dyDescent="0.25">
      <c r="A123" s="2" t="s">
        <v>848</v>
      </c>
      <c r="B123" s="2" t="s">
        <v>849</v>
      </c>
      <c r="C123" s="2" t="s">
        <v>841</v>
      </c>
      <c r="D123" s="2" t="s">
        <v>867</v>
      </c>
      <c r="E123" s="2" t="e">
        <f>VLOOKUP(A123,'Zipper 7-30'!A:A,1,0)</f>
        <v>#N/A</v>
      </c>
      <c r="F123" s="2"/>
      <c r="G123" s="2"/>
    </row>
    <row r="124" spans="1:7" x14ac:dyDescent="0.25">
      <c r="A124" s="2" t="s">
        <v>850</v>
      </c>
      <c r="B124" s="2" t="s">
        <v>851</v>
      </c>
      <c r="C124" s="2" t="s">
        <v>841</v>
      </c>
      <c r="D124" s="2" t="s">
        <v>868</v>
      </c>
      <c r="E124" s="2" t="e">
        <f>VLOOKUP(A124,'Zipper 7-30'!A:A,1,0)</f>
        <v>#N/A</v>
      </c>
      <c r="F124" s="2"/>
      <c r="G124" s="2"/>
    </row>
    <row r="125" spans="1:7" x14ac:dyDescent="0.25">
      <c r="A125" t="s">
        <v>852</v>
      </c>
      <c r="B125" t="s">
        <v>853</v>
      </c>
      <c r="C125" t="s">
        <v>841</v>
      </c>
      <c r="D125" t="s">
        <v>869</v>
      </c>
      <c r="E125" t="e">
        <f>VLOOKUP(A125,'Zipper 7-30'!A:A,1,0)</f>
        <v>#N/A</v>
      </c>
    </row>
    <row r="126" spans="1:7" x14ac:dyDescent="0.25">
      <c r="A126" t="s">
        <v>854</v>
      </c>
      <c r="B126" t="s">
        <v>855</v>
      </c>
      <c r="C126" t="s">
        <v>841</v>
      </c>
      <c r="D126" t="s">
        <v>870</v>
      </c>
      <c r="E126" t="e">
        <f>VLOOKUP(A126,'Zipper 7-30'!A:A,1,0)</f>
        <v>#N/A</v>
      </c>
    </row>
    <row r="127" spans="1:7" x14ac:dyDescent="0.25">
      <c r="A127" t="s">
        <v>856</v>
      </c>
      <c r="B127" t="s">
        <v>857</v>
      </c>
      <c r="C127" t="s">
        <v>841</v>
      </c>
      <c r="D127" t="s">
        <v>871</v>
      </c>
      <c r="E127" t="e">
        <f>VLOOKUP(A127,'Zipper 7-30'!A:A,1,0)</f>
        <v>#N/A</v>
      </c>
    </row>
    <row r="128" spans="1:7" x14ac:dyDescent="0.25">
      <c r="A128" s="4" t="s">
        <v>694</v>
      </c>
      <c r="B128" s="4" t="s">
        <v>776</v>
      </c>
      <c r="C128" s="4" t="s">
        <v>687</v>
      </c>
      <c r="D128" s="4" t="s">
        <v>694</v>
      </c>
      <c r="E128" s="4" t="str">
        <f>VLOOKUP(A128,'Zipper 7-30'!A:A,1,0)</f>
        <v>10.51.7.27</v>
      </c>
      <c r="F128" s="4" t="str">
        <f>VLOOKUP(A128,'Zipper 7-30'!A:F,5,0)</f>
        <v>Mike Schmidt</v>
      </c>
      <c r="G128" s="4" t="str">
        <f>VLOOKUP(A128,'Zipper 7-30'!A:F,6,0)</f>
        <v>No Action Taken</v>
      </c>
    </row>
    <row r="129" spans="1:7" x14ac:dyDescent="0.25">
      <c r="A129" s="4" t="s">
        <v>695</v>
      </c>
      <c r="B129" s="4" t="s">
        <v>777</v>
      </c>
      <c r="C129" s="4" t="s">
        <v>687</v>
      </c>
      <c r="D129" s="4" t="s">
        <v>695</v>
      </c>
      <c r="E129" s="4" t="str">
        <f>VLOOKUP(A129,'Zipper 7-30'!A:A,1,0)</f>
        <v>10.51.7.28</v>
      </c>
      <c r="F129" s="4" t="str">
        <f>VLOOKUP(A129,'Zipper 7-30'!A:F,5,0)</f>
        <v>Mike Schmidt</v>
      </c>
      <c r="G129" s="4" t="str">
        <f>VLOOKUP(A129,'Zipper 7-30'!A:F,6,0)</f>
        <v>No Action Taken</v>
      </c>
    </row>
    <row r="130" spans="1:7" x14ac:dyDescent="0.25">
      <c r="A130" s="4" t="s">
        <v>696</v>
      </c>
      <c r="B130" s="4" t="s">
        <v>778</v>
      </c>
      <c r="C130" s="4" t="s">
        <v>687</v>
      </c>
      <c r="D130" s="4" t="s">
        <v>696</v>
      </c>
      <c r="E130" s="4" t="str">
        <f>VLOOKUP(A130,'Zipper 7-30'!A:A,1,0)</f>
        <v>10.51.7.29</v>
      </c>
      <c r="F130" s="4" t="str">
        <f>VLOOKUP(A130,'Zipper 7-30'!A:F,5,0)</f>
        <v>Mike Schmidt</v>
      </c>
      <c r="G130" s="4" t="str">
        <f>VLOOKUP(A130,'Zipper 7-30'!A:F,6,0)</f>
        <v>No Action Taken</v>
      </c>
    </row>
    <row r="131" spans="1:7" x14ac:dyDescent="0.25">
      <c r="A131" s="2" t="s">
        <v>17</v>
      </c>
      <c r="B131" s="2" t="s">
        <v>285</v>
      </c>
      <c r="C131" s="2" t="s">
        <v>374</v>
      </c>
      <c r="D131" s="2" t="s">
        <v>17</v>
      </c>
      <c r="E131" s="2" t="str">
        <f>VLOOKUP(A131,'Zipper 7-30'!A:A,1,0)</f>
        <v>10.206.19.107</v>
      </c>
      <c r="F131" s="2" t="str">
        <f>VLOOKUP(A131,'Zipper 7-30'!A:F,5,0)</f>
        <v>Windows TCASH</v>
      </c>
      <c r="G131" s="2" t="str">
        <f>VLOOKUP(A131,'Zipper 7-30'!A:F,6,0)</f>
        <v>Chad Brochill</v>
      </c>
    </row>
    <row r="132" spans="1:7" x14ac:dyDescent="0.25">
      <c r="A132" s="3" t="s">
        <v>434</v>
      </c>
      <c r="B132" s="3" t="s">
        <v>563</v>
      </c>
      <c r="C132" s="3" t="s">
        <v>424</v>
      </c>
      <c r="D132" s="3"/>
      <c r="E132" s="3" t="str">
        <f>VLOOKUP(A132,'Zipper 7-30'!A:A,1,0)</f>
        <v>10.220.20.141</v>
      </c>
      <c r="F132" s="3" t="str">
        <f>VLOOKUP(A132,'Zipper 7-30'!A:F,5,0)</f>
        <v>Decommission</v>
      </c>
      <c r="G132" s="3" t="str">
        <f>VLOOKUP(A132,'Zipper 7-30'!A:F,6,0)</f>
        <v>Recycled IP</v>
      </c>
    </row>
    <row r="133" spans="1:7" x14ac:dyDescent="0.25">
      <c r="A133" s="3" t="s">
        <v>435</v>
      </c>
      <c r="B133" s="3" t="s">
        <v>564</v>
      </c>
      <c r="C133" s="3" t="s">
        <v>424</v>
      </c>
      <c r="D133" s="3"/>
      <c r="E133" s="3" t="str">
        <f>VLOOKUP(A133,'Zipper 7-30'!A:A,1,0)</f>
        <v>10.220.20.142</v>
      </c>
      <c r="F133" s="3" t="str">
        <f>VLOOKUP(A133,'Zipper 7-30'!A:F,5,0)</f>
        <v>Decommission</v>
      </c>
      <c r="G133" s="3" t="str">
        <f>VLOOKUP(A133,'Zipper 7-30'!A:F,6,0)</f>
        <v>Recycled IP</v>
      </c>
    </row>
    <row r="134" spans="1:7" x14ac:dyDescent="0.25">
      <c r="A134" s="3" t="s">
        <v>436</v>
      </c>
      <c r="B134" s="3" t="s">
        <v>426</v>
      </c>
      <c r="C134" s="3" t="s">
        <v>424</v>
      </c>
      <c r="D134" s="3"/>
      <c r="E134" s="3" t="str">
        <f>VLOOKUP(A134,'Zipper 7-30'!A:A,1,0)</f>
        <v>10.220.20.143</v>
      </c>
      <c r="F134" s="3" t="str">
        <f>VLOOKUP(A134,'Zipper 7-30'!A:F,5,0)</f>
        <v>Decommission</v>
      </c>
      <c r="G134" s="3" t="str">
        <f>VLOOKUP(A134,'Zipper 7-30'!A:F,6,0)</f>
        <v>Recycled IP</v>
      </c>
    </row>
    <row r="135" spans="1:7" x14ac:dyDescent="0.25">
      <c r="A135" s="3" t="s">
        <v>437</v>
      </c>
      <c r="B135" s="3" t="s">
        <v>565</v>
      </c>
      <c r="C135" s="3" t="s">
        <v>424</v>
      </c>
      <c r="D135" s="3"/>
      <c r="E135" s="3" t="str">
        <f>VLOOKUP(A135,'Zipper 7-30'!A:A,1,0)</f>
        <v>10.220.20.144</v>
      </c>
      <c r="F135" s="3" t="str">
        <f>VLOOKUP(A135,'Zipper 7-30'!A:F,5,0)</f>
        <v>Decommission</v>
      </c>
      <c r="G135" s="3" t="str">
        <f>VLOOKUP(A135,'Zipper 7-30'!A:F,6,0)</f>
        <v>Recycled IP</v>
      </c>
    </row>
    <row r="136" spans="1:7" x14ac:dyDescent="0.25">
      <c r="A136" t="s">
        <v>858</v>
      </c>
      <c r="B136" t="s">
        <v>859</v>
      </c>
      <c r="C136" t="s">
        <v>841</v>
      </c>
      <c r="E136" t="e">
        <f>VLOOKUP(A136,'Zipper 7-30'!A:A,1,0)</f>
        <v>#N/A</v>
      </c>
    </row>
    <row r="137" spans="1:7" x14ac:dyDescent="0.25">
      <c r="A137" t="s">
        <v>567</v>
      </c>
      <c r="B137" t="s">
        <v>860</v>
      </c>
      <c r="C137" t="s">
        <v>842</v>
      </c>
      <c r="E137" t="str">
        <f>VLOOKUP(A137,'Zipper 7-30'!A:A,1,0)</f>
        <v>10.51.1.10</v>
      </c>
      <c r="F137" t="str">
        <f>VLOOKUP(A137,'Zipper 7-30'!A:F,5,0)</f>
        <v>No Information within Banana</v>
      </c>
      <c r="G137" t="str">
        <f>VLOOKUP(A137,'Zipper 7-30'!A:F,6,0)</f>
        <v>Modified Banana record</v>
      </c>
    </row>
    <row r="138" spans="1:7" x14ac:dyDescent="0.25">
      <c r="A138" s="3" t="s">
        <v>569</v>
      </c>
      <c r="B138" s="3" t="s">
        <v>544</v>
      </c>
      <c r="C138" s="3" t="s">
        <v>537</v>
      </c>
      <c r="D138" s="3" t="s">
        <v>872</v>
      </c>
      <c r="E138" s="3" t="str">
        <f>VLOOKUP(A138,'Zipper 7-30'!A:A,1,0)</f>
        <v>10.51.8.80</v>
      </c>
      <c r="F138" s="3" t="str">
        <f>VLOOKUP(A138,'Zipper 7-30'!A:F,5,0)</f>
        <v>Server Moved - New IP</v>
      </c>
      <c r="G138" s="3" t="str">
        <f>VLOOKUP(A138,'Zipper 7-30'!A:F,6,0)</f>
        <v>Recycled IP</v>
      </c>
    </row>
    <row r="139" spans="1:7" x14ac:dyDescent="0.25">
      <c r="A139" s="3" t="s">
        <v>644</v>
      </c>
      <c r="B139" s="3" t="s">
        <v>645</v>
      </c>
      <c r="C139" s="3" t="s">
        <v>601</v>
      </c>
      <c r="D139" s="3" t="s">
        <v>873</v>
      </c>
      <c r="E139" s="3" t="str">
        <f>VLOOKUP(A139,'Zipper 7-30'!A:A,1,0)</f>
        <v>10.52.142.55</v>
      </c>
      <c r="F139" s="3" t="str">
        <f>VLOOKUP(A139,'Zipper 7-30'!A:F,5,0)</f>
        <v>Server Moved - New IP</v>
      </c>
      <c r="G139" s="3" t="str">
        <f>VLOOKUP(A139,'Zipper 7-30'!A:F,6,0)</f>
        <v>Recycled IP</v>
      </c>
    </row>
    <row r="140" spans="1:7" x14ac:dyDescent="0.25">
      <c r="A140" t="s">
        <v>861</v>
      </c>
      <c r="B140" t="s">
        <v>862</v>
      </c>
      <c r="C140" t="s">
        <v>843</v>
      </c>
      <c r="D140" t="s">
        <v>861</v>
      </c>
      <c r="E140" t="e">
        <f>VLOOKUP(A140,'Zipper 7-30'!A:A,1,0)</f>
        <v>#N/A</v>
      </c>
    </row>
    <row r="141" spans="1:7" x14ac:dyDescent="0.25">
      <c r="A141" s="2" t="s">
        <v>507</v>
      </c>
      <c r="B141" s="2" t="s">
        <v>525</v>
      </c>
      <c r="C141" s="2" t="s">
        <v>496</v>
      </c>
      <c r="D141" s="2" t="s">
        <v>507</v>
      </c>
      <c r="E141" s="2" t="str">
        <f>VLOOKUP(A141,'Zipper 7-30'!A:A,1,0)</f>
        <v>10.206.16.3</v>
      </c>
      <c r="F141" s="2" t="str">
        <f>VLOOKUP(A141,'Zipper 7-30'!A:F,5,0)</f>
        <v>Windows TCASH</v>
      </c>
      <c r="G141" s="2" t="str">
        <f>VLOOKUP(A141,'Zipper 7-30'!A:F,6,0)</f>
        <v>Chad Brochill</v>
      </c>
    </row>
    <row r="142" spans="1:7" x14ac:dyDescent="0.25">
      <c r="A142" s="2" t="s">
        <v>647</v>
      </c>
      <c r="B142" s="2" t="s">
        <v>648</v>
      </c>
      <c r="C142" s="2" t="s">
        <v>603</v>
      </c>
      <c r="D142" s="2" t="s">
        <v>647</v>
      </c>
      <c r="E142" s="2" t="str">
        <f>VLOOKUP(A142,'Zipper 7-30'!A:A,1,0)</f>
        <v>10.206.16.20</v>
      </c>
      <c r="F142" s="2" t="str">
        <f>VLOOKUP(A142,'Zipper 7-30'!A:F,5,0)</f>
        <v>Windows TCASH</v>
      </c>
      <c r="G142" s="2" t="str">
        <f>VLOOKUP(A142,'Zipper 7-30'!A:F,6,0)</f>
        <v>Chad Brochill</v>
      </c>
    </row>
    <row r="143" spans="1:7" x14ac:dyDescent="0.25">
      <c r="A143" t="s">
        <v>738</v>
      </c>
      <c r="B143" t="s">
        <v>818</v>
      </c>
      <c r="C143" t="s">
        <v>685</v>
      </c>
      <c r="E143" t="str">
        <f>VLOOKUP(A143,'Zipper 7-30'!A:A,1,0)</f>
        <v>10.206.169.8</v>
      </c>
    </row>
    <row r="144" spans="1:7" x14ac:dyDescent="0.25">
      <c r="A144" t="s">
        <v>739</v>
      </c>
      <c r="B144" t="s">
        <v>819</v>
      </c>
      <c r="C144" t="s">
        <v>685</v>
      </c>
      <c r="E144" t="str">
        <f>VLOOKUP(A144,'Zipper 7-30'!A:A,1,0)</f>
        <v>10.206.169.9</v>
      </c>
    </row>
    <row r="145" spans="1:7" x14ac:dyDescent="0.25">
      <c r="A145" t="s">
        <v>508</v>
      </c>
      <c r="B145" t="s">
        <v>527</v>
      </c>
      <c r="C145" t="s">
        <v>491</v>
      </c>
      <c r="E145" t="str">
        <f>VLOOKUP(A145,'Zipper 7-30'!A:A,1,0)</f>
        <v>10.220.30.41</v>
      </c>
    </row>
    <row r="146" spans="1:7" x14ac:dyDescent="0.25">
      <c r="A146" t="s">
        <v>44</v>
      </c>
      <c r="B146" t="s">
        <v>324</v>
      </c>
      <c r="C146" t="s">
        <v>380</v>
      </c>
      <c r="E146" t="str">
        <f>VLOOKUP(A146,'Zipper 7-30'!A:A,1,0)</f>
        <v>10.225.4.136</v>
      </c>
    </row>
    <row r="147" spans="1:7" x14ac:dyDescent="0.25">
      <c r="A147" s="2" t="s">
        <v>509</v>
      </c>
      <c r="B147" s="2" t="s">
        <v>528</v>
      </c>
      <c r="C147" s="2" t="s">
        <v>497</v>
      </c>
      <c r="D147" s="2" t="s">
        <v>509</v>
      </c>
      <c r="E147" s="2" t="str">
        <f>VLOOKUP(A147,'Zipper 7-30'!A:A,1,0)</f>
        <v>10.226.50.178</v>
      </c>
      <c r="F147" s="2" t="str">
        <f>VLOOKUP(A147,'Zipper 7-30'!A:F,5,0)</f>
        <v>Windows TCASH</v>
      </c>
      <c r="G147" s="2" t="str">
        <f>VLOOKUP(A147,'Zipper 7-30'!A:F,6,0)</f>
        <v>Chad Brochill</v>
      </c>
    </row>
    <row r="148" spans="1:7" x14ac:dyDescent="0.25">
      <c r="A148" s="2" t="s">
        <v>510</v>
      </c>
      <c r="B148" s="2" t="s">
        <v>529</v>
      </c>
      <c r="C148" s="2" t="s">
        <v>497</v>
      </c>
      <c r="D148" s="2" t="s">
        <v>510</v>
      </c>
      <c r="E148" s="2" t="str">
        <f>VLOOKUP(A148,'Zipper 7-30'!A:A,1,0)</f>
        <v>10.226.50.179</v>
      </c>
      <c r="F148" s="2" t="str">
        <f>VLOOKUP(A148,'Zipper 7-30'!A:F,5,0)</f>
        <v>Windows TCASH</v>
      </c>
      <c r="G148" s="2" t="str">
        <f>VLOOKUP(A148,'Zipper 7-30'!A:F,6,0)</f>
        <v>Chad Brochill</v>
      </c>
    </row>
    <row r="149" spans="1:7" x14ac:dyDescent="0.25">
      <c r="A149" s="3" t="s">
        <v>762</v>
      </c>
      <c r="B149" s="3" t="s">
        <v>814</v>
      </c>
      <c r="C149" s="3" t="s">
        <v>689</v>
      </c>
      <c r="D149" s="3" t="s">
        <v>874</v>
      </c>
      <c r="E149" s="3" t="str">
        <f>VLOOKUP(A149,'Zipper 7-30'!A:A,1,0)</f>
        <v>163.231.31.48</v>
      </c>
      <c r="F149" s="3" t="str">
        <f>VLOOKUP(A149,'Zipper 7-30'!A:F,5,0)</f>
        <v>Server Moved - New IP</v>
      </c>
      <c r="G149" s="3" t="s">
        <v>863</v>
      </c>
    </row>
    <row r="150" spans="1:7" x14ac:dyDescent="0.25">
      <c r="A150" s="2" t="s">
        <v>54</v>
      </c>
      <c r="B150" s="2" t="s">
        <v>240</v>
      </c>
      <c r="C150" s="2" t="s">
        <v>327</v>
      </c>
      <c r="D150" s="2"/>
      <c r="E150" s="2" t="str">
        <f>VLOOKUP(A150,'Zipper 7-30'!A:A,1,0)</f>
        <v>163.231.83.217</v>
      </c>
      <c r="F150" s="2"/>
      <c r="G150" s="2"/>
    </row>
    <row r="151" spans="1:7" x14ac:dyDescent="0.25">
      <c r="A151" s="2" t="s">
        <v>413</v>
      </c>
      <c r="B151" s="2" t="s">
        <v>414</v>
      </c>
      <c r="C151" s="2" t="s">
        <v>403</v>
      </c>
      <c r="D151" s="2"/>
      <c r="E151" s="2" t="str">
        <f>VLOOKUP(A151,'Zipper 7-30'!A:A,1,0)</f>
        <v>163.231.94.89</v>
      </c>
      <c r="F151" s="2"/>
      <c r="G151" s="2"/>
    </row>
    <row r="152" spans="1:7" x14ac:dyDescent="0.25">
      <c r="A152" s="2" t="s">
        <v>669</v>
      </c>
      <c r="B152" s="2" t="s">
        <v>670</v>
      </c>
      <c r="C152" s="2" t="s">
        <v>604</v>
      </c>
      <c r="D152" s="2"/>
      <c r="E152" s="2" t="str">
        <f>VLOOKUP(A152,'Zipper 7-30'!A:A,1,0)</f>
        <v>167.68.251.27</v>
      </c>
      <c r="F152" s="2" t="str">
        <f>VLOOKUP(A152,'Zipper 7-30'!A:F,5,0)</f>
        <v>EMAT</v>
      </c>
      <c r="G152" s="2" t="s">
        <v>864</v>
      </c>
    </row>
  </sheetData>
  <autoFilter ref="A2:F80">
    <sortState ref="A3:F118">
      <sortCondition sortBy="cellColor" ref="C2:C80" dxfId="5"/>
    </sortState>
  </autoFilter>
  <mergeCells count="1">
    <mergeCell ref="A1:F1"/>
  </mergeCells>
  <hyperlinks>
    <hyperlink ref="D46" r:id="rId1"/>
    <hyperlink ref="D48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selection activeCell="D11" sqref="D11"/>
    </sheetView>
  </sheetViews>
  <sheetFormatPr defaultRowHeight="15" x14ac:dyDescent="0.25"/>
  <cols>
    <col min="1" max="1" width="15.7109375" bestFit="1" customWidth="1"/>
    <col min="2" max="2" width="32" bestFit="1" customWidth="1"/>
    <col min="3" max="3" width="10.28515625" bestFit="1" customWidth="1"/>
    <col min="4" max="4" width="44" customWidth="1"/>
    <col min="5" max="5" width="80.28515625" bestFit="1" customWidth="1"/>
    <col min="6" max="6" width="97.5703125" bestFit="1" customWidth="1"/>
    <col min="7" max="7" width="16" bestFit="1" customWidth="1"/>
    <col min="8" max="8" width="28.140625" bestFit="1" customWidth="1"/>
    <col min="9" max="9" width="44.140625" bestFit="1" customWidth="1"/>
  </cols>
  <sheetData>
    <row r="1" spans="1:9" x14ac:dyDescent="0.25">
      <c r="A1" s="1" t="s">
        <v>1</v>
      </c>
      <c r="B1" s="1" t="s">
        <v>104</v>
      </c>
      <c r="C1" s="1" t="s">
        <v>303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</row>
    <row r="2" spans="1:9" x14ac:dyDescent="0.25">
      <c r="A2" t="s">
        <v>111</v>
      </c>
      <c r="B2" t="s">
        <v>112</v>
      </c>
      <c r="D2" t="s">
        <v>486</v>
      </c>
      <c r="E2" t="s">
        <v>113</v>
      </c>
    </row>
    <row r="3" spans="1:9" x14ac:dyDescent="0.25">
      <c r="A3" t="s">
        <v>114</v>
      </c>
      <c r="B3" t="s">
        <v>115</v>
      </c>
      <c r="D3" t="s">
        <v>486</v>
      </c>
      <c r="E3" t="s">
        <v>116</v>
      </c>
    </row>
    <row r="4" spans="1:9" x14ac:dyDescent="0.25">
      <c r="A4" t="s">
        <v>117</v>
      </c>
      <c r="B4" t="s">
        <v>118</v>
      </c>
      <c r="D4" t="s">
        <v>486</v>
      </c>
      <c r="E4" t="s">
        <v>119</v>
      </c>
      <c r="G4" t="s">
        <v>120</v>
      </c>
      <c r="H4" t="s">
        <v>121</v>
      </c>
      <c r="I4" t="s">
        <v>118</v>
      </c>
    </row>
    <row r="5" spans="1:9" x14ac:dyDescent="0.25">
      <c r="A5" t="s">
        <v>122</v>
      </c>
      <c r="B5" t="s">
        <v>123</v>
      </c>
      <c r="D5" t="s">
        <v>70</v>
      </c>
      <c r="E5" t="s">
        <v>119</v>
      </c>
      <c r="G5" t="s">
        <v>120</v>
      </c>
      <c r="H5" t="s">
        <v>124</v>
      </c>
      <c r="I5" t="s">
        <v>123</v>
      </c>
    </row>
    <row r="6" spans="1:9" x14ac:dyDescent="0.25">
      <c r="A6" t="s">
        <v>125</v>
      </c>
      <c r="B6" t="s">
        <v>126</v>
      </c>
      <c r="D6" t="s">
        <v>69</v>
      </c>
      <c r="E6" t="s">
        <v>127</v>
      </c>
      <c r="G6" t="s">
        <v>128</v>
      </c>
      <c r="H6" t="s">
        <v>129</v>
      </c>
      <c r="I6" t="s">
        <v>126</v>
      </c>
    </row>
    <row r="7" spans="1:9" x14ac:dyDescent="0.25">
      <c r="A7" t="s">
        <v>130</v>
      </c>
      <c r="B7" t="s">
        <v>131</v>
      </c>
      <c r="D7" t="s">
        <v>71</v>
      </c>
      <c r="E7" t="s">
        <v>132</v>
      </c>
    </row>
    <row r="8" spans="1:9" x14ac:dyDescent="0.25">
      <c r="A8" s="2" t="s">
        <v>133</v>
      </c>
      <c r="B8" s="2" t="s">
        <v>134</v>
      </c>
      <c r="C8" s="2" t="s">
        <v>135</v>
      </c>
      <c r="D8" s="2" t="s">
        <v>64</v>
      </c>
      <c r="E8" s="2" t="s">
        <v>136</v>
      </c>
      <c r="F8" s="2"/>
      <c r="G8" s="2" t="s">
        <v>128</v>
      </c>
      <c r="H8" s="2" t="s">
        <v>137</v>
      </c>
      <c r="I8" s="2" t="s">
        <v>138</v>
      </c>
    </row>
    <row r="9" spans="1:9" x14ac:dyDescent="0.25">
      <c r="A9" t="s">
        <v>139</v>
      </c>
      <c r="B9" t="s">
        <v>140</v>
      </c>
      <c r="D9" t="s">
        <v>73</v>
      </c>
      <c r="E9" t="s">
        <v>141</v>
      </c>
      <c r="G9" t="s">
        <v>128</v>
      </c>
      <c r="H9" t="s">
        <v>30</v>
      </c>
      <c r="I9" t="s">
        <v>142</v>
      </c>
    </row>
    <row r="10" spans="1:9" x14ac:dyDescent="0.25">
      <c r="A10" t="s">
        <v>143</v>
      </c>
      <c r="B10" t="s">
        <v>144</v>
      </c>
      <c r="D10" t="s">
        <v>74</v>
      </c>
      <c r="E10" t="s">
        <v>145</v>
      </c>
      <c r="G10" t="s">
        <v>120</v>
      </c>
      <c r="H10" t="s">
        <v>31</v>
      </c>
      <c r="I10" t="s">
        <v>146</v>
      </c>
    </row>
    <row r="11" spans="1:9" x14ac:dyDescent="0.25">
      <c r="A11" t="s">
        <v>147</v>
      </c>
      <c r="B11" t="s">
        <v>148</v>
      </c>
      <c r="D11" t="s">
        <v>74</v>
      </c>
      <c r="E11" t="s">
        <v>145</v>
      </c>
      <c r="G11" t="s">
        <v>120</v>
      </c>
      <c r="H11" t="s">
        <v>32</v>
      </c>
      <c r="I11" t="s">
        <v>149</v>
      </c>
    </row>
    <row r="12" spans="1:9" x14ac:dyDescent="0.25">
      <c r="A12" t="s">
        <v>150</v>
      </c>
      <c r="B12" t="s">
        <v>151</v>
      </c>
      <c r="D12" t="s">
        <v>75</v>
      </c>
      <c r="E12" t="s">
        <v>152</v>
      </c>
      <c r="G12" t="s">
        <v>120</v>
      </c>
      <c r="H12" t="s">
        <v>33</v>
      </c>
      <c r="I12" t="s">
        <v>153</v>
      </c>
    </row>
    <row r="13" spans="1:9" x14ac:dyDescent="0.25">
      <c r="A13" t="s">
        <v>154</v>
      </c>
      <c r="B13" t="s">
        <v>155</v>
      </c>
      <c r="D13" t="s">
        <v>77</v>
      </c>
      <c r="E13" t="s">
        <v>156</v>
      </c>
      <c r="G13" t="s">
        <v>120</v>
      </c>
      <c r="H13" t="s">
        <v>157</v>
      </c>
      <c r="I13" t="s">
        <v>158</v>
      </c>
    </row>
    <row r="14" spans="1:9" x14ac:dyDescent="0.25">
      <c r="A14" t="s">
        <v>159</v>
      </c>
      <c r="B14" t="s">
        <v>160</v>
      </c>
      <c r="D14" t="s">
        <v>78</v>
      </c>
      <c r="E14" t="s">
        <v>156</v>
      </c>
      <c r="G14" t="s">
        <v>120</v>
      </c>
      <c r="H14" t="s">
        <v>161</v>
      </c>
      <c r="I14" t="s">
        <v>162</v>
      </c>
    </row>
    <row r="15" spans="1:9" x14ac:dyDescent="0.25">
      <c r="A15" t="s">
        <v>163</v>
      </c>
      <c r="B15" t="s">
        <v>164</v>
      </c>
      <c r="D15" t="s">
        <v>79</v>
      </c>
      <c r="E15" t="s">
        <v>165</v>
      </c>
      <c r="G15" t="s">
        <v>120</v>
      </c>
      <c r="H15" t="s">
        <v>166</v>
      </c>
      <c r="I15" t="s">
        <v>164</v>
      </c>
    </row>
    <row r="16" spans="1:9" x14ac:dyDescent="0.25">
      <c r="A16" t="s">
        <v>167</v>
      </c>
      <c r="B16" t="s">
        <v>168</v>
      </c>
      <c r="D16" t="s">
        <v>80</v>
      </c>
      <c r="E16" t="s">
        <v>169</v>
      </c>
      <c r="G16" t="s">
        <v>120</v>
      </c>
      <c r="H16" t="s">
        <v>170</v>
      </c>
      <c r="I16" t="s">
        <v>171</v>
      </c>
    </row>
    <row r="17" spans="1:9" x14ac:dyDescent="0.25">
      <c r="A17" t="s">
        <v>172</v>
      </c>
      <c r="B17" t="s">
        <v>173</v>
      </c>
      <c r="D17" t="s">
        <v>81</v>
      </c>
      <c r="E17" t="s">
        <v>127</v>
      </c>
      <c r="G17" t="s">
        <v>120</v>
      </c>
      <c r="H17" t="s">
        <v>174</v>
      </c>
      <c r="I17" t="s">
        <v>173</v>
      </c>
    </row>
    <row r="18" spans="1:9" x14ac:dyDescent="0.25">
      <c r="A18" t="s">
        <v>175</v>
      </c>
      <c r="B18" t="s">
        <v>176</v>
      </c>
      <c r="D18" t="s">
        <v>84</v>
      </c>
      <c r="E18" t="s">
        <v>177</v>
      </c>
    </row>
    <row r="19" spans="1:9" x14ac:dyDescent="0.25">
      <c r="A19" s="3" t="s">
        <v>178</v>
      </c>
      <c r="B19" s="3" t="s">
        <v>179</v>
      </c>
      <c r="C19" s="3"/>
      <c r="D19" s="3">
        <v>0</v>
      </c>
      <c r="E19" s="3" t="s">
        <v>180</v>
      </c>
      <c r="F19" s="3" t="s">
        <v>181</v>
      </c>
      <c r="G19" s="3"/>
      <c r="H19" s="3"/>
      <c r="I19" s="3" t="s">
        <v>182</v>
      </c>
    </row>
    <row r="20" spans="1:9" x14ac:dyDescent="0.25">
      <c r="A20" t="s">
        <v>183</v>
      </c>
      <c r="B20" t="s">
        <v>184</v>
      </c>
      <c r="D20" t="s">
        <v>64</v>
      </c>
      <c r="E20" t="s">
        <v>185</v>
      </c>
      <c r="F20" t="s">
        <v>186</v>
      </c>
      <c r="I20" t="s">
        <v>187</v>
      </c>
    </row>
    <row r="21" spans="1:9" x14ac:dyDescent="0.25">
      <c r="A21" t="s">
        <v>188</v>
      </c>
      <c r="B21" t="s">
        <v>189</v>
      </c>
      <c r="D21">
        <v>0</v>
      </c>
      <c r="E21" t="s">
        <v>190</v>
      </c>
      <c r="F21" t="s">
        <v>191</v>
      </c>
      <c r="I21" t="s">
        <v>192</v>
      </c>
    </row>
    <row r="22" spans="1:9" x14ac:dyDescent="0.25">
      <c r="A22" t="s">
        <v>193</v>
      </c>
      <c r="B22" t="s">
        <v>194</v>
      </c>
      <c r="D22" t="s">
        <v>99</v>
      </c>
      <c r="E22" t="s">
        <v>195</v>
      </c>
      <c r="G22" t="s">
        <v>120</v>
      </c>
      <c r="H22" t="s">
        <v>196</v>
      </c>
      <c r="I22" t="s">
        <v>197</v>
      </c>
    </row>
    <row r="23" spans="1:9" x14ac:dyDescent="0.25">
      <c r="A23" t="s">
        <v>198</v>
      </c>
      <c r="B23" t="s">
        <v>199</v>
      </c>
      <c r="D23">
        <v>0</v>
      </c>
      <c r="E23" t="s">
        <v>200</v>
      </c>
    </row>
    <row r="24" spans="1:9" x14ac:dyDescent="0.25">
      <c r="A24" t="s">
        <v>201</v>
      </c>
      <c r="B24" t="s">
        <v>202</v>
      </c>
      <c r="D24" t="s">
        <v>64</v>
      </c>
      <c r="E24" t="s">
        <v>203</v>
      </c>
    </row>
    <row r="25" spans="1:9" x14ac:dyDescent="0.25">
      <c r="A25" t="s">
        <v>204</v>
      </c>
      <c r="B25" t="s">
        <v>205</v>
      </c>
      <c r="D25" t="s">
        <v>64</v>
      </c>
      <c r="E25" t="s">
        <v>206</v>
      </c>
      <c r="F25" t="s">
        <v>207</v>
      </c>
      <c r="I25" t="s">
        <v>208</v>
      </c>
    </row>
    <row r="26" spans="1:9" x14ac:dyDescent="0.25">
      <c r="A26" t="s">
        <v>209</v>
      </c>
      <c r="B26" t="s">
        <v>210</v>
      </c>
      <c r="D26" t="s">
        <v>64</v>
      </c>
      <c r="E26" t="s">
        <v>211</v>
      </c>
      <c r="F26" t="s">
        <v>212</v>
      </c>
      <c r="I26" t="s">
        <v>213</v>
      </c>
    </row>
    <row r="27" spans="1:9" x14ac:dyDescent="0.25">
      <c r="A27" t="s">
        <v>214</v>
      </c>
      <c r="B27" t="s">
        <v>215</v>
      </c>
      <c r="D27">
        <v>0</v>
      </c>
      <c r="E27" t="s">
        <v>216</v>
      </c>
      <c r="F27" t="s">
        <v>217</v>
      </c>
      <c r="I27" t="s">
        <v>218</v>
      </c>
    </row>
    <row r="28" spans="1:9" x14ac:dyDescent="0.25">
      <c r="A28" t="s">
        <v>219</v>
      </c>
      <c r="B28" t="s">
        <v>220</v>
      </c>
      <c r="D28">
        <v>0</v>
      </c>
      <c r="E28" t="s">
        <v>221</v>
      </c>
      <c r="G28" t="s">
        <v>120</v>
      </c>
      <c r="H28" t="s">
        <v>222</v>
      </c>
      <c r="I28" t="s">
        <v>223</v>
      </c>
    </row>
    <row r="29" spans="1:9" x14ac:dyDescent="0.25">
      <c r="A29" t="s">
        <v>224</v>
      </c>
      <c r="B29" t="s">
        <v>225</v>
      </c>
      <c r="D29">
        <v>0</v>
      </c>
      <c r="E29" t="s">
        <v>190</v>
      </c>
      <c r="F29" t="s">
        <v>226</v>
      </c>
      <c r="I29" t="s">
        <v>187</v>
      </c>
    </row>
    <row r="30" spans="1:9" x14ac:dyDescent="0.25">
      <c r="A30" t="s">
        <v>227</v>
      </c>
      <c r="B30" t="s">
        <v>228</v>
      </c>
      <c r="D30">
        <v>0</v>
      </c>
      <c r="E30" t="s">
        <v>190</v>
      </c>
      <c r="F30" t="s">
        <v>229</v>
      </c>
      <c r="I30" t="s">
        <v>230</v>
      </c>
    </row>
    <row r="31" spans="1:9" x14ac:dyDescent="0.25">
      <c r="A31" t="s">
        <v>231</v>
      </c>
      <c r="B31" t="s">
        <v>232</v>
      </c>
      <c r="D31">
        <v>0</v>
      </c>
      <c r="E31" t="s">
        <v>190</v>
      </c>
      <c r="F31" t="s">
        <v>233</v>
      </c>
      <c r="I31" t="s">
        <v>234</v>
      </c>
    </row>
    <row r="32" spans="1:9" x14ac:dyDescent="0.25">
      <c r="A32" t="s">
        <v>235</v>
      </c>
      <c r="B32" t="s">
        <v>236</v>
      </c>
      <c r="D32">
        <v>0</v>
      </c>
      <c r="E32" t="s">
        <v>237</v>
      </c>
      <c r="I32" t="s">
        <v>238</v>
      </c>
    </row>
    <row r="33" spans="1:9" x14ac:dyDescent="0.25">
      <c r="A33" t="s">
        <v>239</v>
      </c>
      <c r="B33" t="s">
        <v>240</v>
      </c>
      <c r="D33">
        <v>0</v>
      </c>
      <c r="E33" t="s">
        <v>237</v>
      </c>
    </row>
    <row r="34" spans="1:9" x14ac:dyDescent="0.25">
      <c r="A34" t="s">
        <v>241</v>
      </c>
      <c r="B34" t="s">
        <v>242</v>
      </c>
      <c r="D34" t="s">
        <v>87</v>
      </c>
      <c r="E34" t="s">
        <v>180</v>
      </c>
      <c r="G34" t="s">
        <v>120</v>
      </c>
      <c r="H34" t="s">
        <v>243</v>
      </c>
      <c r="I34" t="s">
        <v>242</v>
      </c>
    </row>
    <row r="35" spans="1:9" x14ac:dyDescent="0.25">
      <c r="A35" t="s">
        <v>244</v>
      </c>
      <c r="B35" t="s">
        <v>245</v>
      </c>
      <c r="D35" t="s">
        <v>59</v>
      </c>
      <c r="E35" t="s">
        <v>246</v>
      </c>
    </row>
    <row r="36" spans="1:9" x14ac:dyDescent="0.25">
      <c r="A36" t="s">
        <v>247</v>
      </c>
      <c r="B36" t="s">
        <v>248</v>
      </c>
      <c r="D36" t="s">
        <v>61</v>
      </c>
      <c r="E36" t="s">
        <v>119</v>
      </c>
    </row>
    <row r="37" spans="1:9" x14ac:dyDescent="0.25">
      <c r="A37" t="s">
        <v>249</v>
      </c>
      <c r="B37" t="s">
        <v>250</v>
      </c>
      <c r="D37" t="s">
        <v>62</v>
      </c>
      <c r="E37" t="s">
        <v>119</v>
      </c>
    </row>
    <row r="38" spans="1:9" x14ac:dyDescent="0.25">
      <c r="A38" t="s">
        <v>251</v>
      </c>
      <c r="B38" t="s">
        <v>252</v>
      </c>
      <c r="D38" t="s">
        <v>487</v>
      </c>
      <c r="E38" t="s">
        <v>119</v>
      </c>
      <c r="G38" t="s">
        <v>128</v>
      </c>
      <c r="I38" t="s">
        <v>252</v>
      </c>
    </row>
    <row r="39" spans="1:9" x14ac:dyDescent="0.25">
      <c r="A39" t="s">
        <v>253</v>
      </c>
      <c r="B39" t="s">
        <v>254</v>
      </c>
      <c r="D39" t="s">
        <v>64</v>
      </c>
      <c r="E39" t="s">
        <v>119</v>
      </c>
      <c r="G39" t="s">
        <v>128</v>
      </c>
      <c r="I39" t="s">
        <v>254</v>
      </c>
    </row>
    <row r="40" spans="1:9" x14ac:dyDescent="0.25">
      <c r="A40" t="s">
        <v>255</v>
      </c>
      <c r="B40" t="s">
        <v>256</v>
      </c>
      <c r="D40" t="s">
        <v>488</v>
      </c>
      <c r="E40" t="s">
        <v>119</v>
      </c>
      <c r="G40" t="s">
        <v>128</v>
      </c>
      <c r="I40" t="s">
        <v>256</v>
      </c>
    </row>
    <row r="41" spans="1:9" x14ac:dyDescent="0.25">
      <c r="A41" t="s">
        <v>257</v>
      </c>
      <c r="B41" t="s">
        <v>258</v>
      </c>
      <c r="D41">
        <v>0</v>
      </c>
      <c r="E41" t="s">
        <v>119</v>
      </c>
      <c r="G41" t="s">
        <v>128</v>
      </c>
      <c r="I41" t="s">
        <v>258</v>
      </c>
    </row>
    <row r="42" spans="1:9" x14ac:dyDescent="0.25">
      <c r="A42" t="s">
        <v>259</v>
      </c>
      <c r="B42" t="s">
        <v>260</v>
      </c>
      <c r="D42" t="s">
        <v>64</v>
      </c>
      <c r="E42" t="s">
        <v>119</v>
      </c>
      <c r="F42" t="s">
        <v>261</v>
      </c>
      <c r="I42" t="s">
        <v>262</v>
      </c>
    </row>
    <row r="43" spans="1:9" x14ac:dyDescent="0.25">
      <c r="A43" t="s">
        <v>263</v>
      </c>
      <c r="B43" t="s">
        <v>264</v>
      </c>
      <c r="D43" t="s">
        <v>64</v>
      </c>
      <c r="E43" t="s">
        <v>119</v>
      </c>
      <c r="F43" t="s">
        <v>265</v>
      </c>
      <c r="I43" t="s">
        <v>266</v>
      </c>
    </row>
    <row r="44" spans="1:9" x14ac:dyDescent="0.25">
      <c r="A44" t="s">
        <v>267</v>
      </c>
      <c r="B44" t="s">
        <v>268</v>
      </c>
      <c r="D44" t="s">
        <v>64</v>
      </c>
      <c r="E44" t="s">
        <v>119</v>
      </c>
      <c r="F44" t="s">
        <v>269</v>
      </c>
      <c r="I44" t="s">
        <v>270</v>
      </c>
    </row>
    <row r="45" spans="1:9" x14ac:dyDescent="0.25">
      <c r="A45" t="s">
        <v>271</v>
      </c>
      <c r="B45" t="s">
        <v>272</v>
      </c>
      <c r="D45" t="s">
        <v>64</v>
      </c>
      <c r="E45" t="s">
        <v>119</v>
      </c>
      <c r="F45" t="s">
        <v>273</v>
      </c>
      <c r="I45" t="s">
        <v>274</v>
      </c>
    </row>
    <row r="46" spans="1:9" x14ac:dyDescent="0.25">
      <c r="A46" t="s">
        <v>275</v>
      </c>
      <c r="B46" t="s">
        <v>276</v>
      </c>
      <c r="D46">
        <v>0</v>
      </c>
      <c r="E46" t="s">
        <v>119</v>
      </c>
      <c r="G46" t="s">
        <v>128</v>
      </c>
      <c r="H46" t="s">
        <v>277</v>
      </c>
      <c r="I46" t="s">
        <v>276</v>
      </c>
    </row>
    <row r="47" spans="1:9" x14ac:dyDescent="0.25">
      <c r="A47" t="s">
        <v>278</v>
      </c>
      <c r="B47" t="s">
        <v>256</v>
      </c>
      <c r="D47" t="s">
        <v>488</v>
      </c>
      <c r="E47" t="s">
        <v>119</v>
      </c>
      <c r="G47" t="s">
        <v>128</v>
      </c>
      <c r="I47" t="s">
        <v>256</v>
      </c>
    </row>
    <row r="48" spans="1:9" x14ac:dyDescent="0.25">
      <c r="A48" t="s">
        <v>279</v>
      </c>
      <c r="B48" t="s">
        <v>280</v>
      </c>
      <c r="D48">
        <v>0</v>
      </c>
      <c r="E48" t="s">
        <v>119</v>
      </c>
      <c r="G48" t="s">
        <v>128</v>
      </c>
      <c r="H48" t="s">
        <v>281</v>
      </c>
      <c r="I48" t="s">
        <v>280</v>
      </c>
    </row>
    <row r="49" spans="1:9" x14ac:dyDescent="0.25">
      <c r="A49" t="s">
        <v>282</v>
      </c>
      <c r="B49" t="s">
        <v>258</v>
      </c>
      <c r="D49">
        <v>0</v>
      </c>
      <c r="E49" t="s">
        <v>119</v>
      </c>
      <c r="G49" t="s">
        <v>128</v>
      </c>
      <c r="I49" t="s">
        <v>258</v>
      </c>
    </row>
    <row r="50" spans="1:9" x14ac:dyDescent="0.25">
      <c r="A50" t="s">
        <v>283</v>
      </c>
      <c r="B50" t="s">
        <v>250</v>
      </c>
      <c r="D50" t="s">
        <v>62</v>
      </c>
      <c r="E50" t="s">
        <v>119</v>
      </c>
    </row>
    <row r="51" spans="1:9" x14ac:dyDescent="0.25">
      <c r="A51" t="s">
        <v>284</v>
      </c>
      <c r="B51" t="s">
        <v>285</v>
      </c>
      <c r="D51" t="s">
        <v>64</v>
      </c>
      <c r="E51" t="s">
        <v>246</v>
      </c>
    </row>
    <row r="52" spans="1:9" x14ac:dyDescent="0.25">
      <c r="A52" t="s">
        <v>286</v>
      </c>
      <c r="B52" t="s">
        <v>287</v>
      </c>
      <c r="D52" t="s">
        <v>64</v>
      </c>
      <c r="E52" t="s">
        <v>190</v>
      </c>
      <c r="F52" t="s">
        <v>288</v>
      </c>
      <c r="I52" t="s">
        <v>289</v>
      </c>
    </row>
    <row r="53" spans="1:9" x14ac:dyDescent="0.25">
      <c r="A53" t="s">
        <v>290</v>
      </c>
      <c r="B53" t="s">
        <v>291</v>
      </c>
      <c r="D53" t="s">
        <v>64</v>
      </c>
      <c r="E53" t="s">
        <v>190</v>
      </c>
      <c r="F53" t="s">
        <v>292</v>
      </c>
      <c r="I53" t="s">
        <v>293</v>
      </c>
    </row>
    <row r="54" spans="1:9" x14ac:dyDescent="0.25">
      <c r="A54" t="s">
        <v>294</v>
      </c>
      <c r="B54" t="s">
        <v>295</v>
      </c>
      <c r="D54" t="s">
        <v>64</v>
      </c>
      <c r="E54" t="s">
        <v>296</v>
      </c>
      <c r="I54" t="s">
        <v>297</v>
      </c>
    </row>
    <row r="55" spans="1:9" x14ac:dyDescent="0.25">
      <c r="A55" t="s">
        <v>298</v>
      </c>
      <c r="B55" t="s">
        <v>299</v>
      </c>
      <c r="D55" t="s">
        <v>64</v>
      </c>
      <c r="E55" t="s">
        <v>300</v>
      </c>
    </row>
    <row r="56" spans="1:9" x14ac:dyDescent="0.25">
      <c r="A56" t="s">
        <v>301</v>
      </c>
      <c r="B56" t="s">
        <v>302</v>
      </c>
      <c r="D56" t="s">
        <v>64</v>
      </c>
      <c r="E56" t="s">
        <v>300</v>
      </c>
    </row>
  </sheetData>
  <autoFilter ref="A1:I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3"/>
  <sheetViews>
    <sheetView workbookViewId="0">
      <selection sqref="A1:G43"/>
    </sheetView>
  </sheetViews>
  <sheetFormatPr defaultRowHeight="15" x14ac:dyDescent="0.25"/>
  <cols>
    <col min="1" max="1" width="15.28515625" bestFit="1" customWidth="1"/>
    <col min="2" max="2" width="21.85546875" bestFit="1" customWidth="1"/>
    <col min="3" max="3" width="79.85546875" bestFit="1" customWidth="1"/>
    <col min="4" max="4" width="10.140625" bestFit="1" customWidth="1"/>
    <col min="5" max="5" width="27" bestFit="1" customWidth="1"/>
    <col min="6" max="6" width="29" bestFit="1" customWidth="1"/>
    <col min="7" max="7" width="24.5703125" bestFit="1" customWidth="1"/>
  </cols>
  <sheetData>
    <row r="1" spans="1:6" x14ac:dyDescent="0.25">
      <c r="A1" s="5" t="s">
        <v>331</v>
      </c>
      <c r="B1" s="5" t="s">
        <v>56</v>
      </c>
      <c r="C1" s="5" t="s">
        <v>332</v>
      </c>
      <c r="D1" s="5" t="s">
        <v>325</v>
      </c>
      <c r="E1" s="5" t="s">
        <v>60</v>
      </c>
      <c r="F1" s="5" t="s">
        <v>396</v>
      </c>
    </row>
    <row r="2" spans="1:6" hidden="1" x14ac:dyDescent="0.25">
      <c r="A2" t="s">
        <v>30</v>
      </c>
      <c r="B2" t="s">
        <v>358</v>
      </c>
      <c r="C2" t="s">
        <v>359</v>
      </c>
      <c r="D2" t="str">
        <f>VLOOKUP(A2,Chris!A:F,1,0)</f>
        <v>10.204.32.129</v>
      </c>
    </row>
    <row r="3" spans="1:6" hidden="1" x14ac:dyDescent="0.25">
      <c r="A3" t="s">
        <v>33</v>
      </c>
      <c r="B3" t="s">
        <v>346</v>
      </c>
      <c r="C3" t="s">
        <v>347</v>
      </c>
      <c r="D3" t="str">
        <f>VLOOKUP(A3,Chris!A:F,1,0)</f>
        <v>10.204.64.100</v>
      </c>
    </row>
    <row r="4" spans="1:6" hidden="1" x14ac:dyDescent="0.25">
      <c r="A4" t="s">
        <v>34</v>
      </c>
      <c r="B4" t="s">
        <v>334</v>
      </c>
      <c r="C4" t="s">
        <v>329</v>
      </c>
      <c r="D4" t="str">
        <f>VLOOKUP(A4,Chris!A:F,1,0)</f>
        <v>10.204.64.114</v>
      </c>
    </row>
    <row r="5" spans="1:6" hidden="1" x14ac:dyDescent="0.25">
      <c r="A5" t="s">
        <v>35</v>
      </c>
      <c r="B5" t="s">
        <v>348</v>
      </c>
      <c r="C5" t="s">
        <v>329</v>
      </c>
      <c r="D5" t="str">
        <f>VLOOKUP(A5,Chris!A:F,1,0)</f>
        <v>10.204.64.115</v>
      </c>
    </row>
    <row r="6" spans="1:6" hidden="1" x14ac:dyDescent="0.25">
      <c r="A6" t="s">
        <v>31</v>
      </c>
      <c r="B6" t="s">
        <v>338</v>
      </c>
      <c r="C6" t="s">
        <v>339</v>
      </c>
      <c r="D6" t="str">
        <f>VLOOKUP(A6,Chris!A:F,1,0)</f>
        <v>10.204.64.96</v>
      </c>
    </row>
    <row r="7" spans="1:6" hidden="1" x14ac:dyDescent="0.25">
      <c r="A7" t="s">
        <v>32</v>
      </c>
      <c r="B7" t="s">
        <v>352</v>
      </c>
      <c r="C7" t="s">
        <v>339</v>
      </c>
      <c r="D7" t="str">
        <f>VLOOKUP(A7,Chris!A:F,1,0)</f>
        <v>10.204.64.97</v>
      </c>
    </row>
    <row r="8" spans="1:6" hidden="1" x14ac:dyDescent="0.25">
      <c r="A8" t="s">
        <v>17</v>
      </c>
      <c r="B8" t="s">
        <v>322</v>
      </c>
      <c r="C8" t="s">
        <v>374</v>
      </c>
      <c r="D8" t="str">
        <f>VLOOKUP(A8,Chris!A:F,1,0)</f>
        <v>10.206.19.107</v>
      </c>
    </row>
    <row r="9" spans="1:6" x14ac:dyDescent="0.25">
      <c r="A9" s="6" t="s">
        <v>313</v>
      </c>
      <c r="B9" s="6" t="s">
        <v>368</v>
      </c>
      <c r="C9" s="6" t="s">
        <v>328</v>
      </c>
      <c r="D9" s="6" t="str">
        <f>VLOOKUP(A9,Chris!A:F,1,0)</f>
        <v>10.213.32.11</v>
      </c>
      <c r="E9" s="6" t="s">
        <v>388</v>
      </c>
      <c r="F9" s="6" t="s">
        <v>398</v>
      </c>
    </row>
    <row r="10" spans="1:6" hidden="1" x14ac:dyDescent="0.25">
      <c r="A10" t="s">
        <v>39</v>
      </c>
      <c r="B10" t="s">
        <v>340</v>
      </c>
      <c r="C10" t="s">
        <v>341</v>
      </c>
      <c r="D10" t="str">
        <f>VLOOKUP(A10,Chris!A:F,1,0)</f>
        <v>10.215.31.40</v>
      </c>
    </row>
    <row r="11" spans="1:6" x14ac:dyDescent="0.25">
      <c r="A11" s="6" t="s">
        <v>382</v>
      </c>
      <c r="B11" s="6" t="s">
        <v>369</v>
      </c>
      <c r="C11" s="6" t="s">
        <v>370</v>
      </c>
      <c r="D11" s="6" t="str">
        <f>VLOOKUP(A11,Chris!A:F,1,0)</f>
        <v>10.216.64.3</v>
      </c>
      <c r="E11" s="6" t="s">
        <v>389</v>
      </c>
      <c r="F11" s="6" t="s">
        <v>398</v>
      </c>
    </row>
    <row r="12" spans="1:6" x14ac:dyDescent="0.25">
      <c r="A12" s="6" t="s">
        <v>383</v>
      </c>
      <c r="B12" s="6" t="s">
        <v>377</v>
      </c>
      <c r="C12" s="6" t="s">
        <v>370</v>
      </c>
      <c r="D12" s="6" t="str">
        <f>VLOOKUP(A12,Chris!A:F,1,0)</f>
        <v>10.220.48.3</v>
      </c>
      <c r="E12" s="6" t="s">
        <v>390</v>
      </c>
      <c r="F12" s="6" t="s">
        <v>398</v>
      </c>
    </row>
    <row r="13" spans="1:6" x14ac:dyDescent="0.25">
      <c r="A13" s="6" t="s">
        <v>384</v>
      </c>
      <c r="B13" s="6" t="s">
        <v>366</v>
      </c>
      <c r="C13" s="6" t="s">
        <v>367</v>
      </c>
      <c r="D13" s="6" t="str">
        <f>VLOOKUP(A13,Chris!A:F,1,0)</f>
        <v>10.221.254.98</v>
      </c>
      <c r="E13" s="6" t="s">
        <v>85</v>
      </c>
      <c r="F13" s="6" t="s">
        <v>398</v>
      </c>
    </row>
    <row r="14" spans="1:6" x14ac:dyDescent="0.25">
      <c r="A14" s="6" t="s">
        <v>385</v>
      </c>
      <c r="B14" s="6" t="s">
        <v>371</v>
      </c>
      <c r="C14" s="6" t="s">
        <v>370</v>
      </c>
      <c r="D14" s="6" t="str">
        <f>VLOOKUP(A14,Chris!A:F,1,0)</f>
        <v>10.221.68.45</v>
      </c>
      <c r="E14" s="6" t="s">
        <v>391</v>
      </c>
      <c r="F14" s="6" t="s">
        <v>398</v>
      </c>
    </row>
    <row r="15" spans="1:6" hidden="1" x14ac:dyDescent="0.25">
      <c r="A15" t="s">
        <v>44</v>
      </c>
      <c r="B15" t="s">
        <v>324</v>
      </c>
      <c r="C15" t="s">
        <v>380</v>
      </c>
      <c r="D15" t="str">
        <f>VLOOKUP(A15,Chris!A:F,1,0)</f>
        <v>10.225.4.136</v>
      </c>
    </row>
    <row r="16" spans="1:6" hidden="1" x14ac:dyDescent="0.25">
      <c r="A16" t="s">
        <v>45</v>
      </c>
      <c r="B16" t="s">
        <v>379</v>
      </c>
      <c r="C16" t="s">
        <v>330</v>
      </c>
      <c r="D16" t="str">
        <f>VLOOKUP(A16,Chris!A:F,1,0)</f>
        <v>10.226.45.37</v>
      </c>
    </row>
    <row r="17" spans="1:7" x14ac:dyDescent="0.25">
      <c r="A17" s="6" t="s">
        <v>386</v>
      </c>
      <c r="B17" s="6" t="s">
        <v>392</v>
      </c>
      <c r="C17" s="6" t="s">
        <v>363</v>
      </c>
      <c r="D17" s="6" t="str">
        <f>VLOOKUP(A17,Chris!A:F,1,0)</f>
        <v>10.226.9.144</v>
      </c>
      <c r="E17" s="6" t="s">
        <v>394</v>
      </c>
      <c r="F17" s="6" t="s">
        <v>415</v>
      </c>
    </row>
    <row r="18" spans="1:7" x14ac:dyDescent="0.25">
      <c r="A18" s="6" t="s">
        <v>314</v>
      </c>
      <c r="B18" s="6" t="s">
        <v>349</v>
      </c>
      <c r="C18" s="6" t="s">
        <v>350</v>
      </c>
      <c r="D18" s="6" t="str">
        <f>VLOOKUP(A18,Chris!A:F,1,0)</f>
        <v>10.226.9.89</v>
      </c>
      <c r="E18" s="6" t="s">
        <v>393</v>
      </c>
      <c r="F18" s="6" t="s">
        <v>397</v>
      </c>
    </row>
    <row r="19" spans="1:7" x14ac:dyDescent="0.25">
      <c r="A19" s="6" t="s">
        <v>387</v>
      </c>
      <c r="B19" s="6" t="s">
        <v>395</v>
      </c>
      <c r="C19" s="6" t="s">
        <v>381</v>
      </c>
      <c r="D19" s="6" t="str">
        <f>VLOOKUP(A19,Chris!A:F,1,0)</f>
        <v>10.226.9.90</v>
      </c>
      <c r="E19" s="6" t="s">
        <v>85</v>
      </c>
      <c r="F19" s="6" t="s">
        <v>397</v>
      </c>
      <c r="G19" s="8" t="s">
        <v>416</v>
      </c>
    </row>
    <row r="20" spans="1:7" hidden="1" x14ac:dyDescent="0.25">
      <c r="A20" t="s">
        <v>2</v>
      </c>
      <c r="B20" t="s">
        <v>323</v>
      </c>
      <c r="C20" t="s">
        <v>374</v>
      </c>
      <c r="D20" t="str">
        <f>VLOOKUP(A20,Chris!A:F,1,0)</f>
        <v>10.51.0.21</v>
      </c>
    </row>
    <row r="21" spans="1:7" hidden="1" x14ac:dyDescent="0.25">
      <c r="A21" t="s">
        <v>23</v>
      </c>
      <c r="B21" t="s">
        <v>307</v>
      </c>
      <c r="C21" t="s">
        <v>343</v>
      </c>
      <c r="D21" t="str">
        <f>VLOOKUP(A21,Chris!A:F,1,0)</f>
        <v>10.51.5.129</v>
      </c>
    </row>
    <row r="22" spans="1:7" hidden="1" x14ac:dyDescent="0.25">
      <c r="A22" t="s">
        <v>24</v>
      </c>
      <c r="B22" t="s">
        <v>308</v>
      </c>
      <c r="C22" t="s">
        <v>357</v>
      </c>
      <c r="D22" t="str">
        <f>VLOOKUP(A22,Chris!A:F,1,0)</f>
        <v>10.51.5.130</v>
      </c>
    </row>
    <row r="23" spans="1:7" hidden="1" x14ac:dyDescent="0.25">
      <c r="A23" t="s">
        <v>5</v>
      </c>
      <c r="B23" t="s">
        <v>335</v>
      </c>
      <c r="C23" t="s">
        <v>326</v>
      </c>
      <c r="D23" t="str">
        <f>VLOOKUP(A23,Chris!A:F,1,0)</f>
        <v>10.52.128.60</v>
      </c>
    </row>
    <row r="24" spans="1:7" hidden="1" x14ac:dyDescent="0.25">
      <c r="A24" t="s">
        <v>6</v>
      </c>
      <c r="B24" t="s">
        <v>337</v>
      </c>
      <c r="C24" t="s">
        <v>326</v>
      </c>
      <c r="D24" t="str">
        <f>VLOOKUP(A24,Chris!A:F,1,0)</f>
        <v>10.52.128.61</v>
      </c>
    </row>
    <row r="25" spans="1:7" hidden="1" x14ac:dyDescent="0.25">
      <c r="A25" t="s">
        <v>7</v>
      </c>
      <c r="B25" t="s">
        <v>353</v>
      </c>
      <c r="C25" t="s">
        <v>326</v>
      </c>
      <c r="D25" t="str">
        <f>VLOOKUP(A25,Chris!A:F,1,0)</f>
        <v>10.52.128.67</v>
      </c>
    </row>
    <row r="26" spans="1:7" hidden="1" x14ac:dyDescent="0.25">
      <c r="A26" t="s">
        <v>8</v>
      </c>
      <c r="B26" t="s">
        <v>355</v>
      </c>
      <c r="C26" t="s">
        <v>326</v>
      </c>
      <c r="D26" t="str">
        <f>VLOOKUP(A26,Chris!A:F,1,0)</f>
        <v>10.52.128.69</v>
      </c>
    </row>
    <row r="27" spans="1:7" hidden="1" x14ac:dyDescent="0.25">
      <c r="A27" t="s">
        <v>25</v>
      </c>
      <c r="B27" t="s">
        <v>344</v>
      </c>
      <c r="C27" t="s">
        <v>326</v>
      </c>
      <c r="D27" t="str">
        <f>VLOOKUP(A27,Chris!A:F,1,0)</f>
        <v>10.52.130.98</v>
      </c>
    </row>
    <row r="28" spans="1:7" hidden="1" x14ac:dyDescent="0.25">
      <c r="A28" t="s">
        <v>9</v>
      </c>
      <c r="B28" t="s">
        <v>342</v>
      </c>
      <c r="C28" t="s">
        <v>326</v>
      </c>
      <c r="D28" t="str">
        <f>VLOOKUP(A28,Chris!A:F,1,0)</f>
        <v>10.52.133.58</v>
      </c>
    </row>
    <row r="29" spans="1:7" hidden="1" x14ac:dyDescent="0.25">
      <c r="A29" t="s">
        <v>10</v>
      </c>
      <c r="B29" t="s">
        <v>362</v>
      </c>
      <c r="C29" t="s">
        <v>326</v>
      </c>
      <c r="D29" t="str">
        <f>VLOOKUP(A29,Chris!A:F,1,0)</f>
        <v>10.52.133.59</v>
      </c>
    </row>
    <row r="30" spans="1:7" hidden="1" x14ac:dyDescent="0.25">
      <c r="A30" t="s">
        <v>11</v>
      </c>
      <c r="B30" t="s">
        <v>351</v>
      </c>
      <c r="C30" t="s">
        <v>326</v>
      </c>
      <c r="D30" t="str">
        <f>VLOOKUP(A30,Chris!A:F,1,0)</f>
        <v>10.52.133.60</v>
      </c>
    </row>
    <row r="31" spans="1:7" hidden="1" x14ac:dyDescent="0.25">
      <c r="A31" t="s">
        <v>12</v>
      </c>
      <c r="B31" t="s">
        <v>356</v>
      </c>
      <c r="C31" t="s">
        <v>326</v>
      </c>
      <c r="D31" t="str">
        <f>VLOOKUP(A31,Chris!A:F,1,0)</f>
        <v>10.52.133.61</v>
      </c>
    </row>
    <row r="32" spans="1:7" hidden="1" x14ac:dyDescent="0.25">
      <c r="A32" t="s">
        <v>13</v>
      </c>
      <c r="B32" t="s">
        <v>354</v>
      </c>
      <c r="C32" t="s">
        <v>326</v>
      </c>
      <c r="D32" t="str">
        <f>VLOOKUP(A32,Chris!A:F,1,0)</f>
        <v>10.52.133.66</v>
      </c>
    </row>
    <row r="33" spans="1:4" hidden="1" x14ac:dyDescent="0.25">
      <c r="A33" t="s">
        <v>14</v>
      </c>
      <c r="B33" t="s">
        <v>353</v>
      </c>
      <c r="C33" t="s">
        <v>326</v>
      </c>
      <c r="D33" t="e">
        <f>VLOOKUP(A33,Chris!A:F,1,0)</f>
        <v>#N/A</v>
      </c>
    </row>
    <row r="34" spans="1:4" hidden="1" x14ac:dyDescent="0.25">
      <c r="A34" t="s">
        <v>15</v>
      </c>
      <c r="B34" t="s">
        <v>345</v>
      </c>
      <c r="C34" t="s">
        <v>326</v>
      </c>
      <c r="D34" t="str">
        <f>VLOOKUP(A34,Chris!A:F,1,0)</f>
        <v>10.52.133.68</v>
      </c>
    </row>
    <row r="35" spans="1:4" hidden="1" x14ac:dyDescent="0.25">
      <c r="A35" t="s">
        <v>16</v>
      </c>
      <c r="B35" t="s">
        <v>355</v>
      </c>
      <c r="C35" t="s">
        <v>326</v>
      </c>
      <c r="D35" t="e">
        <f>VLOOKUP(A35,Chris!A:F,1,0)</f>
        <v>#N/A</v>
      </c>
    </row>
    <row r="36" spans="1:4" hidden="1" x14ac:dyDescent="0.25">
      <c r="A36" t="s">
        <v>26</v>
      </c>
      <c r="B36" t="s">
        <v>336</v>
      </c>
      <c r="C36" t="s">
        <v>326</v>
      </c>
      <c r="D36" t="str">
        <f>VLOOKUP(A36,Chris!A:F,1,0)</f>
        <v>10.52.134.51</v>
      </c>
    </row>
    <row r="37" spans="1:4" hidden="1" x14ac:dyDescent="0.25">
      <c r="A37" t="s">
        <v>27</v>
      </c>
      <c r="B37" t="s">
        <v>360</v>
      </c>
      <c r="C37" t="s">
        <v>361</v>
      </c>
      <c r="D37" t="str">
        <f>VLOOKUP(A37,Chris!A:F,1,0)</f>
        <v>10.52.142.57</v>
      </c>
    </row>
    <row r="38" spans="1:4" hidden="1" x14ac:dyDescent="0.25">
      <c r="A38" t="s">
        <v>28</v>
      </c>
      <c r="B38" t="s">
        <v>364</v>
      </c>
      <c r="C38" t="s">
        <v>365</v>
      </c>
      <c r="D38" t="str">
        <f>VLOOKUP(A38,Chris!A:F,1,0)</f>
        <v>10.55.129.7</v>
      </c>
    </row>
    <row r="39" spans="1:4" hidden="1" x14ac:dyDescent="0.25">
      <c r="A39" t="s">
        <v>29</v>
      </c>
      <c r="B39" t="s">
        <v>375</v>
      </c>
      <c r="C39" t="s">
        <v>376</v>
      </c>
      <c r="D39" t="str">
        <f>VLOOKUP(A39,Chris!A:F,1,0)</f>
        <v>10.59.176.75</v>
      </c>
    </row>
    <row r="40" spans="1:4" hidden="1" x14ac:dyDescent="0.25">
      <c r="A40" t="s">
        <v>54</v>
      </c>
      <c r="B40" t="s">
        <v>306</v>
      </c>
      <c r="C40" t="s">
        <v>327</v>
      </c>
      <c r="D40" t="str">
        <f>VLOOKUP(A40,Chris!A:F,1,0)</f>
        <v>163.231.83.217</v>
      </c>
    </row>
    <row r="41" spans="1:4" hidden="1" x14ac:dyDescent="0.25">
      <c r="A41" t="s">
        <v>55</v>
      </c>
      <c r="B41" t="s">
        <v>372</v>
      </c>
      <c r="C41" t="s">
        <v>373</v>
      </c>
      <c r="D41" t="str">
        <f>VLOOKUP(A41,Chris!A:F,1,0)</f>
        <v>163.231.99.40</v>
      </c>
    </row>
    <row r="42" spans="1:4" hidden="1" x14ac:dyDescent="0.25">
      <c r="A42" t="s">
        <v>21</v>
      </c>
      <c r="B42" t="s">
        <v>378</v>
      </c>
      <c r="C42" t="s">
        <v>333</v>
      </c>
      <c r="D42" t="str">
        <f>VLOOKUP(A42,Chris!A:F,1,0)</f>
        <v>192.168.250.129</v>
      </c>
    </row>
    <row r="43" spans="1:4" hidden="1" x14ac:dyDescent="0.25">
      <c r="A43" t="s">
        <v>22</v>
      </c>
      <c r="B43" t="s">
        <v>317</v>
      </c>
      <c r="C43" t="s">
        <v>333</v>
      </c>
      <c r="D43" t="str">
        <f>VLOOKUP(A43,Chris!A:F,1,0)</f>
        <v>192.168.250.131</v>
      </c>
    </row>
  </sheetData>
  <autoFilter ref="A1:E43">
    <filterColumn colId="3">
      <filters>
        <filter val="#N/A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1"/>
  <sheetViews>
    <sheetView zoomScaleNormal="100" workbookViewId="0">
      <selection activeCell="D24" sqref="A1:G31"/>
    </sheetView>
  </sheetViews>
  <sheetFormatPr defaultRowHeight="15" x14ac:dyDescent="0.25"/>
  <cols>
    <col min="1" max="1" width="22.140625" bestFit="1" customWidth="1"/>
    <col min="2" max="2" width="33" bestFit="1" customWidth="1"/>
    <col min="3" max="3" width="79.85546875" bestFit="1" customWidth="1"/>
    <col min="4" max="4" width="32" bestFit="1" customWidth="1"/>
    <col min="5" max="5" width="16.140625" customWidth="1"/>
    <col min="6" max="6" width="23" bestFit="1" customWidth="1"/>
    <col min="7" max="7" width="12" customWidth="1"/>
  </cols>
  <sheetData>
    <row r="1" spans="1:7" s="3" customFormat="1" x14ac:dyDescent="0.25">
      <c r="A1" s="6" t="s">
        <v>331</v>
      </c>
      <c r="B1" s="6" t="s">
        <v>56</v>
      </c>
      <c r="C1" s="6" t="s">
        <v>332</v>
      </c>
      <c r="D1" s="6" t="s">
        <v>325</v>
      </c>
      <c r="E1" s="6" t="s">
        <v>417</v>
      </c>
      <c r="F1" s="6" t="s">
        <v>60</v>
      </c>
      <c r="G1" s="6" t="s">
        <v>396</v>
      </c>
    </row>
    <row r="2" spans="1:7" hidden="1" x14ac:dyDescent="0.25">
      <c r="A2" s="5" t="s">
        <v>21</v>
      </c>
      <c r="B2" s="5" t="s">
        <v>299</v>
      </c>
      <c r="C2" s="5" t="s">
        <v>333</v>
      </c>
      <c r="D2" s="5" t="str">
        <f>VLOOKUP(A2,Chris!A:F,2,0)</f>
        <v>tok1-dist1.tfn.com</v>
      </c>
      <c r="E2" s="5" t="str">
        <f>VLOOKUP(A2,'Zipper 6-13'!A2:F43,2,0)</f>
        <v>tok1-dist1</v>
      </c>
      <c r="F2" s="5"/>
    </row>
    <row r="3" spans="1:7" hidden="1" x14ac:dyDescent="0.25">
      <c r="A3" s="5" t="s">
        <v>22</v>
      </c>
      <c r="B3" s="5" t="s">
        <v>302</v>
      </c>
      <c r="C3" s="5" t="s">
        <v>333</v>
      </c>
      <c r="D3" s="5" t="str">
        <f>VLOOKUP(A3,Chris!A:F,2,0)</f>
        <v>aujpjptokdaiwcp-a01.tfn.com</v>
      </c>
      <c r="E3" s="5" t="str">
        <f>VLOOKUP(A3,'Zipper 6-13'!A3:F44,2,0)</f>
        <v>aujpjptokdaiwcp-a01</v>
      </c>
      <c r="F3" s="5"/>
    </row>
    <row r="4" spans="1:7" hidden="1" x14ac:dyDescent="0.25">
      <c r="A4" s="5" t="s">
        <v>2</v>
      </c>
      <c r="B4" s="5" t="s">
        <v>245</v>
      </c>
      <c r="C4" s="5" t="s">
        <v>374</v>
      </c>
      <c r="D4" s="5" t="str">
        <f>VLOOKUP(A4,Chris!A:F,2,0)</f>
        <v>pvdr.int.thomsonreuters.com</v>
      </c>
      <c r="E4" s="5" t="str">
        <f>VLOOKUP(A4,'Zipper 6-13'!A4:F45,2,0)</f>
        <v>pvdr</v>
      </c>
      <c r="F4" s="5"/>
    </row>
    <row r="5" spans="1:7" hidden="1" x14ac:dyDescent="0.25">
      <c r="A5" s="5" t="s">
        <v>5</v>
      </c>
      <c r="B5" s="5" t="s">
        <v>252</v>
      </c>
      <c r="C5" s="5" t="s">
        <v>326</v>
      </c>
      <c r="D5" s="5" t="str">
        <f>VLOOKUP(A5,Chris!A:F,2,0)</f>
        <v>C111PESCSDBB1</v>
      </c>
      <c r="E5" s="5" t="str">
        <f>VLOOKUP(A5,'Zipper 6-13'!A5:F46,2,0)</f>
        <v xml:space="preserve">C111PESCSDBB1 </v>
      </c>
      <c r="F5" s="5"/>
    </row>
    <row r="6" spans="1:7" hidden="1" x14ac:dyDescent="0.25">
      <c r="A6" s="5" t="s">
        <v>6</v>
      </c>
      <c r="B6" s="5" t="s">
        <v>254</v>
      </c>
      <c r="C6" s="5" t="s">
        <v>326</v>
      </c>
      <c r="D6" s="5" t="str">
        <f>VLOOKUP(A6,Chris!A:F,2,0)</f>
        <v>C111XZZOFDBB1</v>
      </c>
      <c r="E6" s="5" t="str">
        <f>VLOOKUP(A6,'Zipper 6-13'!A6:F47,2,0)</f>
        <v xml:space="preserve">C111XZZOFDBB1 </v>
      </c>
      <c r="F6" s="5"/>
    </row>
    <row r="7" spans="1:7" hidden="1" x14ac:dyDescent="0.25">
      <c r="A7" s="5" t="s">
        <v>7</v>
      </c>
      <c r="B7" s="5" t="s">
        <v>256</v>
      </c>
      <c r="C7" s="5" t="s">
        <v>326</v>
      </c>
      <c r="D7" s="5" t="str">
        <f>VLOOKUP(A7,Chris!A:F,2,0)</f>
        <v>C574KEXOFDBB2</v>
      </c>
      <c r="E7" s="5" t="str">
        <f>VLOOKUP(A7,'Zipper 6-13'!A7:F48,2,0)</f>
        <v xml:space="preserve">C574KEXOFDBB2 </v>
      </c>
      <c r="F7" s="5"/>
    </row>
    <row r="8" spans="1:7" hidden="1" x14ac:dyDescent="0.25">
      <c r="A8" s="5" t="s">
        <v>8</v>
      </c>
      <c r="B8" s="5" t="s">
        <v>258</v>
      </c>
      <c r="C8" s="5" t="s">
        <v>326</v>
      </c>
      <c r="D8" s="5" t="str">
        <f>VLOOKUP(A8,Chris!A:F,2,0)</f>
        <v>C613QFPCSDBB2</v>
      </c>
      <c r="E8" s="5" t="str">
        <f>VLOOKUP(A8,'Zipper 6-13'!A8:F49,2,0)</f>
        <v xml:space="preserve">C613QFPCSDBB2 </v>
      </c>
      <c r="F8" s="5"/>
    </row>
    <row r="9" spans="1:7" hidden="1" x14ac:dyDescent="0.25">
      <c r="A9" s="5" t="s">
        <v>9</v>
      </c>
      <c r="B9" s="5" t="s">
        <v>260</v>
      </c>
      <c r="C9" s="5" t="s">
        <v>326</v>
      </c>
      <c r="D9" s="5" t="str">
        <f>VLOOKUP(A9,Chris!A:F,2,0)</f>
        <v>c237mkh</v>
      </c>
      <c r="E9" s="5" t="str">
        <f>VLOOKUP(A9,'Zipper 6-13'!A9:F50,2,0)</f>
        <v xml:space="preserve">c237mkh </v>
      </c>
      <c r="F9" s="5"/>
    </row>
    <row r="10" spans="1:7" hidden="1" x14ac:dyDescent="0.25">
      <c r="A10" s="5" t="s">
        <v>10</v>
      </c>
      <c r="B10" s="5" t="s">
        <v>264</v>
      </c>
      <c r="C10" s="5" t="s">
        <v>326</v>
      </c>
      <c r="D10" s="5" t="str">
        <f>VLOOKUP(A10,Chris!A:F,2,0)</f>
        <v>c946wpw</v>
      </c>
      <c r="E10" s="5" t="str">
        <f>VLOOKUP(A10,'Zipper 6-13'!A10:F51,2,0)</f>
        <v xml:space="preserve">c946wpw </v>
      </c>
      <c r="F10" s="5"/>
    </row>
    <row r="11" spans="1:7" hidden="1" x14ac:dyDescent="0.25">
      <c r="A11" s="5" t="s">
        <v>11</v>
      </c>
      <c r="B11" s="5" t="s">
        <v>268</v>
      </c>
      <c r="C11" s="5" t="s">
        <v>326</v>
      </c>
      <c r="D11" s="5" t="str">
        <f>VLOOKUP(A11,Chris!A:F,2,0)</f>
        <v>c451utq</v>
      </c>
      <c r="E11" s="5" t="str">
        <f>VLOOKUP(A11,'Zipper 6-13'!A11:F52,2,0)</f>
        <v xml:space="preserve">c451utq </v>
      </c>
      <c r="F11" s="5"/>
    </row>
    <row r="12" spans="1:7" hidden="1" x14ac:dyDescent="0.25">
      <c r="A12" s="5" t="s">
        <v>12</v>
      </c>
      <c r="B12" s="5" t="s">
        <v>272</v>
      </c>
      <c r="C12" s="5" t="s">
        <v>326</v>
      </c>
      <c r="D12" s="5" t="str">
        <f>VLOOKUP(A12,Chris!A:F,2,0)</f>
        <v>c662yxu</v>
      </c>
      <c r="E12" s="5" t="str">
        <f>VLOOKUP(A12,'Zipper 6-13'!A12:F53,2,0)</f>
        <v xml:space="preserve">c662yxu </v>
      </c>
      <c r="F12" s="5"/>
    </row>
    <row r="13" spans="1:7" hidden="1" x14ac:dyDescent="0.25">
      <c r="A13" s="5" t="s">
        <v>13</v>
      </c>
      <c r="B13" s="5" t="s">
        <v>276</v>
      </c>
      <c r="C13" s="5" t="s">
        <v>326</v>
      </c>
      <c r="D13" s="5" t="str">
        <f>VLOOKUP(A13,Chris!A:F,2,0)</f>
        <v>C582MCK</v>
      </c>
      <c r="E13" s="5" t="str">
        <f>VLOOKUP(A13,'Zipper 6-13'!A13:F54,2,0)</f>
        <v xml:space="preserve">C582MCK </v>
      </c>
      <c r="F13" s="5"/>
    </row>
    <row r="14" spans="1:7" hidden="1" x14ac:dyDescent="0.25">
      <c r="A14" s="5" t="s">
        <v>14</v>
      </c>
      <c r="B14" s="5" t="s">
        <v>256</v>
      </c>
      <c r="C14" s="5" t="s">
        <v>326</v>
      </c>
      <c r="D14" s="5" t="e">
        <f>VLOOKUP(A14,Chris!A:F,2,0)</f>
        <v>#N/A</v>
      </c>
      <c r="E14" s="5" t="str">
        <f>VLOOKUP(A14,'Zipper 6-13'!A14:F55,2,0)</f>
        <v xml:space="preserve">C574KEXOFDBB2 </v>
      </c>
      <c r="F14" s="5"/>
    </row>
    <row r="15" spans="1:7" hidden="1" x14ac:dyDescent="0.25">
      <c r="A15" s="5" t="s">
        <v>15</v>
      </c>
      <c r="B15" s="5" t="s">
        <v>280</v>
      </c>
      <c r="C15" s="5" t="s">
        <v>326</v>
      </c>
      <c r="D15" s="5" t="str">
        <f>VLOOKUP(A15,Chris!A:F,2,0)</f>
        <v>C268CUC</v>
      </c>
      <c r="E15" s="5" t="str">
        <f>VLOOKUP(A15,'Zipper 6-13'!A15:F56,2,0)</f>
        <v xml:space="preserve">C268CUC </v>
      </c>
      <c r="F15" s="5"/>
    </row>
    <row r="16" spans="1:7" hidden="1" x14ac:dyDescent="0.25">
      <c r="A16" s="5" t="s">
        <v>16</v>
      </c>
      <c r="B16" s="5" t="s">
        <v>258</v>
      </c>
      <c r="C16" s="5" t="s">
        <v>326</v>
      </c>
      <c r="D16" s="5" t="e">
        <f>VLOOKUP(A16,Chris!A:F,2,0)</f>
        <v>#N/A</v>
      </c>
      <c r="E16" s="5" t="str">
        <f>VLOOKUP(A16,'Zipper 6-13'!A16:F57,2,0)</f>
        <v xml:space="preserve">C613QFPCSDBB2 </v>
      </c>
      <c r="F16" s="5"/>
    </row>
    <row r="17" spans="1:7" hidden="1" x14ac:dyDescent="0.25">
      <c r="A17" s="5" t="s">
        <v>23</v>
      </c>
      <c r="B17" s="5" t="s">
        <v>112</v>
      </c>
      <c r="C17" s="5" t="s">
        <v>343</v>
      </c>
      <c r="D17" s="5" t="str">
        <f>VLOOKUP(A17,Chris!A:F,2,0)</f>
        <v>c241ztuu2tmg1</v>
      </c>
      <c r="E17" s="5" t="str">
        <f>VLOOKUP(A17,'Zipper 6-13'!A17:F58,2,0)</f>
        <v>c241ztuu2tmg1</v>
      </c>
      <c r="F17" s="5"/>
    </row>
    <row r="18" spans="1:7" hidden="1" x14ac:dyDescent="0.25">
      <c r="A18" s="5" t="s">
        <v>24</v>
      </c>
      <c r="B18" s="5" t="s">
        <v>115</v>
      </c>
      <c r="C18" s="5" t="s">
        <v>357</v>
      </c>
      <c r="D18" s="5" t="str">
        <f>VLOOKUP(A18,Chris!A:F,2,0)</f>
        <v>c671ppvu2tmg2</v>
      </c>
      <c r="E18" s="5" t="str">
        <f>VLOOKUP(A18,'Zipper 6-13'!A18:F59,2,0)</f>
        <v>c671ppvu2tmg2</v>
      </c>
      <c r="F18" s="5"/>
    </row>
    <row r="19" spans="1:7" hidden="1" x14ac:dyDescent="0.25">
      <c r="A19" s="5" t="s">
        <v>25</v>
      </c>
      <c r="B19" s="5" t="s">
        <v>118</v>
      </c>
      <c r="C19" s="5" t="s">
        <v>326</v>
      </c>
      <c r="D19" s="5" t="str">
        <f>VLOOKUP(A19,Chris!A:F,2,0)</f>
        <v>C265EZJGRCSNP</v>
      </c>
      <c r="E19" s="5" t="str">
        <f>VLOOKUP(A19,'Zipper 6-13'!A19:F60,2,0)</f>
        <v xml:space="preserve">C265EZJGRCSNP </v>
      </c>
      <c r="F19" s="5"/>
    </row>
    <row r="20" spans="1:7" hidden="1" x14ac:dyDescent="0.25">
      <c r="A20" s="5" t="s">
        <v>26</v>
      </c>
      <c r="B20" s="5" t="s">
        <v>123</v>
      </c>
      <c r="C20" s="5" t="s">
        <v>326</v>
      </c>
      <c r="D20" s="5" t="str">
        <f>VLOOKUP(A20,Chris!A:F,2,0)</f>
        <v>C111UBRLHUB03</v>
      </c>
      <c r="E20" s="5" t="str">
        <f>VLOOKUP(A20,'Zipper 6-13'!A20:F61,2,0)</f>
        <v xml:space="preserve">C111UBRLHUB03 </v>
      </c>
      <c r="F20" s="5"/>
    </row>
    <row r="21" spans="1:7" hidden="1" x14ac:dyDescent="0.25">
      <c r="A21" s="5" t="s">
        <v>27</v>
      </c>
      <c r="B21" s="5" t="s">
        <v>126</v>
      </c>
      <c r="C21" s="5" t="s">
        <v>361</v>
      </c>
      <c r="D21" s="5" t="str">
        <f>VLOOKUP(A21,Chris!A:F,2,0)</f>
        <v>C828QPKQFS02</v>
      </c>
      <c r="E21" s="5" t="str">
        <f>VLOOKUP(A21,'Zipper 6-13'!A21:F62,2,0)</f>
        <v xml:space="preserve">C828QPKQFS02 </v>
      </c>
      <c r="F21" s="5"/>
    </row>
    <row r="22" spans="1:7" hidden="1" x14ac:dyDescent="0.25">
      <c r="A22" s="5" t="s">
        <v>28</v>
      </c>
      <c r="B22" s="5" t="s">
        <v>131</v>
      </c>
      <c r="C22" s="5" t="s">
        <v>365</v>
      </c>
      <c r="D22" s="5" t="str">
        <f>VLOOKUP(A22,Chris!A:F,2,0)</f>
        <v>c951jrx</v>
      </c>
      <c r="E22" s="5" t="str">
        <f>VLOOKUP(A22,'Zipper 6-13'!A22:F63,2,0)</f>
        <v xml:space="preserve">c951jrx.mgmt.tlrg.com </v>
      </c>
      <c r="F22" s="5"/>
    </row>
    <row r="23" spans="1:7" hidden="1" x14ac:dyDescent="0.25">
      <c r="A23" s="5" t="s">
        <v>29</v>
      </c>
      <c r="B23" s="5" t="s">
        <v>134</v>
      </c>
      <c r="C23" s="5" t="s">
        <v>376</v>
      </c>
      <c r="D23" s="5" t="str">
        <f>VLOOKUP(A23,Chris!A:F,2,0)</f>
        <v>RA-C888UXQMPUB01</v>
      </c>
      <c r="E23" s="5" t="str">
        <f>VLOOKUP(A23,'Zipper 6-13'!A23:F64,2,0)</f>
        <v xml:space="preserve">RA-C888UXQMPUB01 </v>
      </c>
      <c r="F23" s="5"/>
    </row>
    <row r="24" spans="1:7" s="3" customFormat="1" x14ac:dyDescent="0.25">
      <c r="A24" s="6" t="s">
        <v>404</v>
      </c>
      <c r="B24" s="6" t="s">
        <v>405</v>
      </c>
      <c r="C24" s="6" t="s">
        <v>399</v>
      </c>
      <c r="D24" s="6" t="str">
        <f>VLOOKUP(A24,Chris!A:F,2,0)</f>
        <v>EG-TAWEB-A05</v>
      </c>
      <c r="E24" s="6" t="e">
        <f>VLOOKUP(A24,'Zipper 6-13'!A24:F65,2,0)</f>
        <v>#N/A</v>
      </c>
      <c r="F24" s="6" t="s">
        <v>418</v>
      </c>
      <c r="G24" s="6" t="s">
        <v>311</v>
      </c>
    </row>
    <row r="25" spans="1:7" s="3" customFormat="1" x14ac:dyDescent="0.25">
      <c r="A25" s="6" t="s">
        <v>385</v>
      </c>
      <c r="B25" s="6" t="s">
        <v>406</v>
      </c>
      <c r="C25" s="6" t="s">
        <v>370</v>
      </c>
      <c r="D25" s="6" t="str">
        <f>VLOOKUP(A25,Chris!A:F,2,0)</f>
        <v>EG-TAWEB-A06</v>
      </c>
      <c r="E25" s="6" t="e">
        <f>VLOOKUP(A25,'Zipper 6-13'!A25:F66,2,0)</f>
        <v>#N/A</v>
      </c>
      <c r="F25" s="6" t="s">
        <v>419</v>
      </c>
      <c r="G25" s="6" t="s">
        <v>311</v>
      </c>
    </row>
    <row r="26" spans="1:7" s="3" customFormat="1" x14ac:dyDescent="0.25">
      <c r="A26" s="6" t="s">
        <v>407</v>
      </c>
      <c r="B26" s="6" t="s">
        <v>408</v>
      </c>
      <c r="C26" s="6" t="s">
        <v>399</v>
      </c>
      <c r="D26" s="6" t="str">
        <f>VLOOKUP(A26,Chris!A:F,2,0)</f>
        <v>EG-TASQL-A04</v>
      </c>
      <c r="E26" s="6" t="e">
        <f>VLOOKUP(A26,'Zipper 6-13'!A26:F67,2,0)</f>
        <v>#N/A</v>
      </c>
      <c r="F26" s="6" t="s">
        <v>420</v>
      </c>
      <c r="G26" s="6" t="s">
        <v>311</v>
      </c>
    </row>
    <row r="27" spans="1:7" s="3" customFormat="1" x14ac:dyDescent="0.25">
      <c r="A27" s="6" t="s">
        <v>409</v>
      </c>
      <c r="B27" s="6" t="s">
        <v>410</v>
      </c>
      <c r="C27" s="6" t="s">
        <v>400</v>
      </c>
      <c r="D27" s="6" t="str">
        <f>VLOOKUP(A27,Chris!A:F,2,0)</f>
        <v>EG-DASYNCQA-A06</v>
      </c>
      <c r="E27" s="6" t="e">
        <f>VLOOKUP(A27,'Zipper 6-13'!A27:F68,2,0)</f>
        <v>#N/A</v>
      </c>
      <c r="F27" s="6" t="s">
        <v>85</v>
      </c>
      <c r="G27" s="6" t="s">
        <v>311</v>
      </c>
    </row>
    <row r="28" spans="1:7" s="3" customFormat="1" x14ac:dyDescent="0.25">
      <c r="A28" s="6" t="s">
        <v>314</v>
      </c>
      <c r="B28" s="6" t="s">
        <v>411</v>
      </c>
      <c r="C28" s="6" t="s">
        <v>350</v>
      </c>
      <c r="D28" s="6" t="str">
        <f>VLOOKUP(A28,Chris!A:F,2,0)</f>
        <v>c400sccicapln</v>
      </c>
      <c r="E28" s="6" t="e">
        <f>VLOOKUP(A28,'Zipper 6-13'!A28:F69,2,0)</f>
        <v>#N/A</v>
      </c>
      <c r="F28" s="9" t="s">
        <v>415</v>
      </c>
      <c r="G28" s="6"/>
    </row>
    <row r="29" spans="1:7" s="3" customFormat="1" x14ac:dyDescent="0.25">
      <c r="A29" s="6" t="s">
        <v>387</v>
      </c>
      <c r="B29" s="6" t="s">
        <v>421</v>
      </c>
      <c r="C29" s="6" t="s">
        <v>401</v>
      </c>
      <c r="D29" s="6" t="str">
        <f>VLOOKUP(A29,Chris!A:F,2,0)</f>
        <v>C111JEMICAPLN</v>
      </c>
      <c r="E29" s="6" t="e">
        <f>VLOOKUP(A29,'Zipper 6-13'!A29:F70,2,0)</f>
        <v>#N/A</v>
      </c>
      <c r="F29" s="6"/>
      <c r="G29" s="6"/>
    </row>
    <row r="30" spans="1:7" s="3" customFormat="1" x14ac:dyDescent="0.25">
      <c r="A30" s="6" t="s">
        <v>386</v>
      </c>
      <c r="B30" s="6" t="s">
        <v>412</v>
      </c>
      <c r="C30" s="6" t="s">
        <v>402</v>
      </c>
      <c r="D30" s="6" t="str">
        <f>VLOOKUP(A30,Chris!A:F,2,0)</f>
        <v>C948DAQ</v>
      </c>
      <c r="E30" s="6" t="e">
        <f>VLOOKUP(A30,'Zipper 6-13'!A30:F71,2,0)</f>
        <v>#N/A</v>
      </c>
      <c r="F30" s="9" t="s">
        <v>415</v>
      </c>
      <c r="G30" s="6"/>
    </row>
    <row r="31" spans="1:7" s="2" customFormat="1" x14ac:dyDescent="0.25">
      <c r="A31" s="7" t="s">
        <v>413</v>
      </c>
      <c r="B31" s="7" t="s">
        <v>414</v>
      </c>
      <c r="C31" s="7" t="s">
        <v>403</v>
      </c>
      <c r="D31" s="7" t="str">
        <f>VLOOKUP(A31,Chris!A:F,2,0)</f>
        <v>eg-hdsadm-a04.int.westgroup.com</v>
      </c>
      <c r="E31" s="7" t="e">
        <f>VLOOKUP(A31,'Zipper 6-13'!A31:F72,2,0)</f>
        <v>#N/A</v>
      </c>
      <c r="F31" s="7" t="s">
        <v>422</v>
      </c>
      <c r="G31" s="7"/>
    </row>
  </sheetData>
  <autoFilter ref="A1:G31">
    <filterColumn colId="4">
      <filters>
        <filter val="#N/A"/>
      </filters>
    </filterColumn>
  </autoFilter>
  <hyperlinks>
    <hyperlink ref="F30" r:id="rId1"/>
    <hyperlink ref="F28" r:id="rId2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2"/>
  <sheetViews>
    <sheetView workbookViewId="0">
      <selection activeCell="D16" sqref="D16"/>
    </sheetView>
  </sheetViews>
  <sheetFormatPr defaultRowHeight="15" x14ac:dyDescent="0.25"/>
  <cols>
    <col min="1" max="1" width="15.28515625" bestFit="1" customWidth="1"/>
    <col min="2" max="2" width="32.5703125" bestFit="1" customWidth="1"/>
    <col min="3" max="3" width="79.85546875" bestFit="1" customWidth="1"/>
    <col min="4" max="4" width="14.85546875" bestFit="1" customWidth="1"/>
    <col min="5" max="5" width="16.5703125" bestFit="1" customWidth="1"/>
    <col min="6" max="6" width="12.42578125" bestFit="1" customWidth="1"/>
  </cols>
  <sheetData>
    <row r="1" spans="1:6" x14ac:dyDescent="0.25">
      <c r="A1" s="5" t="s">
        <v>331</v>
      </c>
      <c r="B1" s="5" t="s">
        <v>56</v>
      </c>
      <c r="C1" s="5" t="s">
        <v>332</v>
      </c>
      <c r="D1" s="5" t="s">
        <v>325</v>
      </c>
      <c r="E1" s="5" t="s">
        <v>60</v>
      </c>
      <c r="F1" s="5" t="s">
        <v>396</v>
      </c>
    </row>
    <row r="2" spans="1:6" hidden="1" x14ac:dyDescent="0.25">
      <c r="A2" t="s">
        <v>2</v>
      </c>
      <c r="B2" t="s">
        <v>245</v>
      </c>
      <c r="C2" t="s">
        <v>374</v>
      </c>
      <c r="D2" t="str">
        <f>VLOOKUP(A2,Chris!A:F,1,0)</f>
        <v>10.51.0.21</v>
      </c>
    </row>
    <row r="3" spans="1:6" hidden="1" x14ac:dyDescent="0.25">
      <c r="A3" t="s">
        <v>5</v>
      </c>
      <c r="B3" t="s">
        <v>252</v>
      </c>
      <c r="C3" t="s">
        <v>326</v>
      </c>
      <c r="D3" t="str">
        <f>VLOOKUP(A3,Chris!A:F,1,0)</f>
        <v>10.52.128.60</v>
      </c>
    </row>
    <row r="4" spans="1:6" hidden="1" x14ac:dyDescent="0.25">
      <c r="A4" t="s">
        <v>6</v>
      </c>
      <c r="B4" t="s">
        <v>254</v>
      </c>
      <c r="C4" t="s">
        <v>326</v>
      </c>
      <c r="D4" t="str">
        <f>VLOOKUP(A4,Chris!A:F,1,0)</f>
        <v>10.52.128.61</v>
      </c>
    </row>
    <row r="5" spans="1:6" hidden="1" x14ac:dyDescent="0.25">
      <c r="A5" t="s">
        <v>7</v>
      </c>
      <c r="B5" t="s">
        <v>256</v>
      </c>
      <c r="C5" t="s">
        <v>326</v>
      </c>
      <c r="D5" t="str">
        <f>VLOOKUP(A5,Chris!A:F,1,0)</f>
        <v>10.52.128.67</v>
      </c>
    </row>
    <row r="6" spans="1:6" hidden="1" x14ac:dyDescent="0.25">
      <c r="A6" t="s">
        <v>8</v>
      </c>
      <c r="B6" t="s">
        <v>258</v>
      </c>
      <c r="C6" t="s">
        <v>326</v>
      </c>
      <c r="D6" t="str">
        <f>VLOOKUP(A6,Chris!A:F,1,0)</f>
        <v>10.52.128.69</v>
      </c>
    </row>
    <row r="7" spans="1:6" hidden="1" x14ac:dyDescent="0.25">
      <c r="A7" t="s">
        <v>9</v>
      </c>
      <c r="B7" t="s">
        <v>260</v>
      </c>
      <c r="C7" t="s">
        <v>326</v>
      </c>
      <c r="D7" t="str">
        <f>VLOOKUP(A7,Chris!A:F,1,0)</f>
        <v>10.52.133.58</v>
      </c>
    </row>
    <row r="8" spans="1:6" hidden="1" x14ac:dyDescent="0.25">
      <c r="A8" t="s">
        <v>10</v>
      </c>
      <c r="B8" t="s">
        <v>264</v>
      </c>
      <c r="C8" t="s">
        <v>326</v>
      </c>
      <c r="D8" t="str">
        <f>VLOOKUP(A8,Chris!A:F,1,0)</f>
        <v>10.52.133.59</v>
      </c>
    </row>
    <row r="9" spans="1:6" hidden="1" x14ac:dyDescent="0.25">
      <c r="A9" t="s">
        <v>11</v>
      </c>
      <c r="B9" t="s">
        <v>268</v>
      </c>
      <c r="C9" t="s">
        <v>326</v>
      </c>
      <c r="D9" t="str">
        <f>VLOOKUP(A9,Chris!A:F,1,0)</f>
        <v>10.52.133.60</v>
      </c>
    </row>
    <row r="10" spans="1:6" hidden="1" x14ac:dyDescent="0.25">
      <c r="A10" t="s">
        <v>12</v>
      </c>
      <c r="B10" t="s">
        <v>272</v>
      </c>
      <c r="C10" t="s">
        <v>326</v>
      </c>
      <c r="D10" t="str">
        <f>VLOOKUP(A10,Chris!A:F,1,0)</f>
        <v>10.52.133.61</v>
      </c>
    </row>
    <row r="11" spans="1:6" hidden="1" x14ac:dyDescent="0.25">
      <c r="A11" t="s">
        <v>13</v>
      </c>
      <c r="B11" t="s">
        <v>276</v>
      </c>
      <c r="C11" t="s">
        <v>326</v>
      </c>
      <c r="D11" t="str">
        <f>VLOOKUP(A11,Chris!A:F,1,0)</f>
        <v>10.52.133.66</v>
      </c>
    </row>
    <row r="12" spans="1:6" hidden="1" x14ac:dyDescent="0.25">
      <c r="A12" t="s">
        <v>14</v>
      </c>
      <c r="B12" t="s">
        <v>256</v>
      </c>
      <c r="C12" t="s">
        <v>326</v>
      </c>
      <c r="D12" t="e">
        <f>VLOOKUP(A12,Chris!A:F,1,0)</f>
        <v>#N/A</v>
      </c>
    </row>
    <row r="13" spans="1:6" hidden="1" x14ac:dyDescent="0.25">
      <c r="A13" t="s">
        <v>15</v>
      </c>
      <c r="B13" t="s">
        <v>280</v>
      </c>
      <c r="C13" t="s">
        <v>326</v>
      </c>
      <c r="D13" t="str">
        <f>VLOOKUP(A13,Chris!A:F,1,0)</f>
        <v>10.52.133.68</v>
      </c>
    </row>
    <row r="14" spans="1:6" hidden="1" x14ac:dyDescent="0.25">
      <c r="A14" t="s">
        <v>16</v>
      </c>
      <c r="B14" t="s">
        <v>258</v>
      </c>
      <c r="C14" t="s">
        <v>326</v>
      </c>
      <c r="D14" t="e">
        <f>VLOOKUP(A14,Chris!A:F,1,0)</f>
        <v>#N/A</v>
      </c>
    </row>
    <row r="15" spans="1:6" hidden="1" x14ac:dyDescent="0.25">
      <c r="A15" t="s">
        <v>17</v>
      </c>
      <c r="B15" t="s">
        <v>285</v>
      </c>
      <c r="C15" t="s">
        <v>374</v>
      </c>
      <c r="D15" t="str">
        <f>VLOOKUP(A15,Chris!A:F,1,0)</f>
        <v>10.206.19.107</v>
      </c>
    </row>
    <row r="16" spans="1:6" s="3" customFormat="1" x14ac:dyDescent="0.25">
      <c r="A16" s="3" t="s">
        <v>434</v>
      </c>
      <c r="B16" s="3" t="s">
        <v>423</v>
      </c>
      <c r="C16" s="3" t="s">
        <v>424</v>
      </c>
      <c r="D16" s="3" t="str">
        <f>VLOOKUP(A16,Chris!A:F,1,0)</f>
        <v>10.220.20.141</v>
      </c>
      <c r="E16" s="3" t="s">
        <v>448</v>
      </c>
      <c r="F16" s="3" t="s">
        <v>311</v>
      </c>
    </row>
    <row r="17" spans="1:6" s="3" customFormat="1" x14ac:dyDescent="0.25">
      <c r="A17" s="3" t="s">
        <v>435</v>
      </c>
      <c r="B17" s="3" t="s">
        <v>425</v>
      </c>
      <c r="C17" s="3" t="s">
        <v>424</v>
      </c>
      <c r="D17" s="3" t="str">
        <f>VLOOKUP(A17,Chris!A:F,1,0)</f>
        <v>10.220.20.142</v>
      </c>
      <c r="E17" s="3" t="s">
        <v>449</v>
      </c>
      <c r="F17" s="3" t="s">
        <v>311</v>
      </c>
    </row>
    <row r="18" spans="1:6" s="3" customFormat="1" x14ac:dyDescent="0.25">
      <c r="A18" s="3" t="s">
        <v>436</v>
      </c>
      <c r="B18" s="3" t="s">
        <v>426</v>
      </c>
      <c r="C18" s="3" t="s">
        <v>424</v>
      </c>
      <c r="D18" s="3" t="str">
        <f>VLOOKUP(A18,Chris!A:F,1,0)</f>
        <v>10.220.20.143</v>
      </c>
      <c r="E18" s="3" t="s">
        <v>449</v>
      </c>
      <c r="F18" s="3" t="s">
        <v>311</v>
      </c>
    </row>
    <row r="19" spans="1:6" s="3" customFormat="1" x14ac:dyDescent="0.25">
      <c r="A19" s="3" t="s">
        <v>437</v>
      </c>
      <c r="B19" s="3" t="s">
        <v>427</v>
      </c>
      <c r="C19" s="3" t="s">
        <v>424</v>
      </c>
      <c r="D19" s="3" t="str">
        <f>VLOOKUP(A19,Chris!A:F,1,0)</f>
        <v>10.220.20.144</v>
      </c>
      <c r="E19" s="3" t="s">
        <v>448</v>
      </c>
      <c r="F19" s="3" t="s">
        <v>311</v>
      </c>
    </row>
    <row r="20" spans="1:6" hidden="1" x14ac:dyDescent="0.25">
      <c r="A20" t="s">
        <v>23</v>
      </c>
      <c r="B20" t="s">
        <v>112</v>
      </c>
      <c r="C20" t="s">
        <v>343</v>
      </c>
      <c r="D20" t="str">
        <f>VLOOKUP(A20,Chris!A:F,1,0)</f>
        <v>10.51.5.129</v>
      </c>
    </row>
    <row r="21" spans="1:6" hidden="1" x14ac:dyDescent="0.25">
      <c r="A21" t="s">
        <v>24</v>
      </c>
      <c r="B21" t="s">
        <v>115</v>
      </c>
      <c r="C21" t="s">
        <v>357</v>
      </c>
      <c r="D21" t="str">
        <f>VLOOKUP(A21,Chris!A:F,1,0)</f>
        <v>10.51.5.130</v>
      </c>
    </row>
    <row r="22" spans="1:6" hidden="1" x14ac:dyDescent="0.25">
      <c r="A22" t="s">
        <v>25</v>
      </c>
      <c r="B22" t="s">
        <v>118</v>
      </c>
      <c r="C22" t="s">
        <v>326</v>
      </c>
      <c r="D22" t="str">
        <f>VLOOKUP(A22,Chris!A:F,1,0)</f>
        <v>10.52.130.98</v>
      </c>
    </row>
    <row r="23" spans="1:6" hidden="1" x14ac:dyDescent="0.25">
      <c r="A23" t="s">
        <v>26</v>
      </c>
      <c r="B23" t="s">
        <v>123</v>
      </c>
      <c r="C23" t="s">
        <v>326</v>
      </c>
      <c r="D23" t="str">
        <f>VLOOKUP(A23,Chris!A:F,1,0)</f>
        <v>10.52.134.51</v>
      </c>
    </row>
    <row r="24" spans="1:6" hidden="1" x14ac:dyDescent="0.25">
      <c r="A24" t="s">
        <v>27</v>
      </c>
      <c r="B24" t="s">
        <v>126</v>
      </c>
      <c r="C24" t="s">
        <v>361</v>
      </c>
      <c r="D24" t="str">
        <f>VLOOKUP(A24,Chris!A:F,1,0)</f>
        <v>10.52.142.57</v>
      </c>
    </row>
    <row r="25" spans="1:6" hidden="1" x14ac:dyDescent="0.25">
      <c r="A25" t="s">
        <v>28</v>
      </c>
      <c r="B25" t="s">
        <v>131</v>
      </c>
      <c r="C25" t="s">
        <v>365</v>
      </c>
      <c r="D25" t="str">
        <f>VLOOKUP(A25,Chris!A:F,1,0)</f>
        <v>10.55.129.7</v>
      </c>
    </row>
    <row r="26" spans="1:6" hidden="1" x14ac:dyDescent="0.25">
      <c r="A26" t="s">
        <v>29</v>
      </c>
      <c r="B26" t="s">
        <v>134</v>
      </c>
      <c r="C26" t="s">
        <v>376</v>
      </c>
      <c r="D26" t="str">
        <f>VLOOKUP(A26,Chris!A:F,1,0)</f>
        <v>10.59.176.75</v>
      </c>
    </row>
    <row r="27" spans="1:6" hidden="1" x14ac:dyDescent="0.25">
      <c r="A27" t="s">
        <v>30</v>
      </c>
      <c r="B27" t="s">
        <v>140</v>
      </c>
      <c r="C27" t="s">
        <v>359</v>
      </c>
      <c r="D27" t="str">
        <f>VLOOKUP(A27,Chris!A:F,1,0)</f>
        <v>10.204.32.129</v>
      </c>
    </row>
    <row r="28" spans="1:6" hidden="1" x14ac:dyDescent="0.25">
      <c r="A28" t="s">
        <v>31</v>
      </c>
      <c r="B28" t="s">
        <v>144</v>
      </c>
      <c r="C28" t="s">
        <v>339</v>
      </c>
      <c r="D28" t="str">
        <f>VLOOKUP(A28,Chris!A:F,1,0)</f>
        <v>10.204.64.96</v>
      </c>
    </row>
    <row r="29" spans="1:6" hidden="1" x14ac:dyDescent="0.25">
      <c r="A29" t="s">
        <v>32</v>
      </c>
      <c r="B29" t="s">
        <v>148</v>
      </c>
      <c r="C29" t="s">
        <v>339</v>
      </c>
      <c r="D29" t="str">
        <f>VLOOKUP(A29,Chris!A:F,1,0)</f>
        <v>10.204.64.97</v>
      </c>
    </row>
    <row r="30" spans="1:6" hidden="1" x14ac:dyDescent="0.25">
      <c r="A30" t="s">
        <v>33</v>
      </c>
      <c r="B30" t="s">
        <v>151</v>
      </c>
      <c r="C30" t="s">
        <v>347</v>
      </c>
      <c r="D30" t="str">
        <f>VLOOKUP(A30,Chris!A:F,1,0)</f>
        <v>10.204.64.100</v>
      </c>
    </row>
    <row r="31" spans="1:6" hidden="1" x14ac:dyDescent="0.25">
      <c r="A31" t="s">
        <v>34</v>
      </c>
      <c r="B31" t="s">
        <v>155</v>
      </c>
      <c r="C31" t="s">
        <v>329</v>
      </c>
      <c r="D31" t="str">
        <f>VLOOKUP(A31,Chris!A:F,1,0)</f>
        <v>10.204.64.114</v>
      </c>
    </row>
    <row r="32" spans="1:6" hidden="1" x14ac:dyDescent="0.25">
      <c r="A32" t="s">
        <v>35</v>
      </c>
      <c r="B32" t="s">
        <v>160</v>
      </c>
      <c r="C32" t="s">
        <v>329</v>
      </c>
      <c r="D32" t="str">
        <f>VLOOKUP(A32,Chris!A:F,1,0)</f>
        <v>10.204.64.115</v>
      </c>
    </row>
    <row r="33" spans="1:6" hidden="1" x14ac:dyDescent="0.25">
      <c r="A33" t="s">
        <v>39</v>
      </c>
      <c r="B33" t="s">
        <v>176</v>
      </c>
      <c r="C33" t="s">
        <v>341</v>
      </c>
      <c r="D33" t="str">
        <f>VLOOKUP(A33,Chris!A:F,1,0)</f>
        <v>10.215.31.40</v>
      </c>
    </row>
    <row r="34" spans="1:6" s="3" customFormat="1" x14ac:dyDescent="0.25">
      <c r="A34" s="3" t="s">
        <v>438</v>
      </c>
      <c r="B34" s="3" t="s">
        <v>428</v>
      </c>
      <c r="C34" s="3" t="s">
        <v>429</v>
      </c>
      <c r="D34" s="3" t="str">
        <f>VLOOKUP(A34,Chris!A:F,1,0)</f>
        <v>10.221.64.115</v>
      </c>
      <c r="E34" s="3" t="s">
        <v>446</v>
      </c>
      <c r="F34" s="3" t="s">
        <v>311</v>
      </c>
    </row>
    <row r="35" spans="1:6" s="3" customFormat="1" x14ac:dyDescent="0.25">
      <c r="A35" s="3" t="s">
        <v>439</v>
      </c>
      <c r="B35" s="3" t="s">
        <v>430</v>
      </c>
      <c r="C35" s="3" t="s">
        <v>431</v>
      </c>
      <c r="D35" s="3" t="str">
        <f>VLOOKUP(A35,Chris!A:F,1,0)</f>
        <v>10.221.68.4</v>
      </c>
      <c r="E35" s="3" t="s">
        <v>446</v>
      </c>
      <c r="F35" s="3" t="s">
        <v>311</v>
      </c>
    </row>
    <row r="36" spans="1:6" hidden="1" x14ac:dyDescent="0.25">
      <c r="A36" t="s">
        <v>44</v>
      </c>
      <c r="B36" t="s">
        <v>199</v>
      </c>
      <c r="C36" t="s">
        <v>380</v>
      </c>
      <c r="D36" t="str">
        <f>VLOOKUP(A36,Chris!A:F,1,0)</f>
        <v>10.225.4.136</v>
      </c>
    </row>
    <row r="37" spans="1:6" s="3" customFormat="1" x14ac:dyDescent="0.25">
      <c r="A37" s="3" t="s">
        <v>440</v>
      </c>
      <c r="B37" s="3" t="s">
        <v>432</v>
      </c>
      <c r="C37" s="3" t="s">
        <v>433</v>
      </c>
      <c r="D37" s="3" t="str">
        <f>VLOOKUP(A37,Chris!A:F,1,0)</f>
        <v>10.226.50.195</v>
      </c>
      <c r="E37" s="3" t="s">
        <v>447</v>
      </c>
      <c r="F37" s="3" t="s">
        <v>311</v>
      </c>
    </row>
    <row r="38" spans="1:6" hidden="1" x14ac:dyDescent="0.25">
      <c r="A38" t="s">
        <v>54</v>
      </c>
      <c r="B38" t="s">
        <v>240</v>
      </c>
      <c r="C38" t="s">
        <v>327</v>
      </c>
      <c r="D38" t="str">
        <f>VLOOKUP(A38,Chris!A:F,1,0)</f>
        <v>163.231.83.217</v>
      </c>
    </row>
    <row r="39" spans="1:6" hidden="1" x14ac:dyDescent="0.25">
      <c r="A39" t="s">
        <v>413</v>
      </c>
      <c r="B39" t="s">
        <v>414</v>
      </c>
      <c r="C39" t="s">
        <v>403</v>
      </c>
      <c r="D39" t="str">
        <f>VLOOKUP(A39,Chris!A:F,1,0)</f>
        <v>163.231.94.89</v>
      </c>
    </row>
    <row r="40" spans="1:6" hidden="1" x14ac:dyDescent="0.25">
      <c r="A40" t="s">
        <v>55</v>
      </c>
      <c r="B40" t="s">
        <v>242</v>
      </c>
      <c r="C40" t="s">
        <v>373</v>
      </c>
      <c r="D40" t="str">
        <f>VLOOKUP(A40,Chris!A:F,1,0)</f>
        <v>163.231.99.40</v>
      </c>
    </row>
    <row r="41" spans="1:6" hidden="1" x14ac:dyDescent="0.25">
      <c r="A41" t="s">
        <v>21</v>
      </c>
      <c r="B41" t="s">
        <v>299</v>
      </c>
      <c r="C41" t="s">
        <v>333</v>
      </c>
      <c r="D41" t="str">
        <f>VLOOKUP(A41,Chris!A:F,1,0)</f>
        <v>192.168.250.129</v>
      </c>
    </row>
    <row r="42" spans="1:6" hidden="1" x14ac:dyDescent="0.25">
      <c r="A42" t="s">
        <v>22</v>
      </c>
      <c r="B42" t="s">
        <v>302</v>
      </c>
      <c r="C42" t="s">
        <v>333</v>
      </c>
      <c r="D42" t="str">
        <f>VLOOKUP(A42,Chris!A:F,1,0)</f>
        <v>192.168.250.131</v>
      </c>
    </row>
  </sheetData>
  <autoFilter ref="A1:F42">
    <filterColumn colId="3">
      <filters>
        <filter val="#N/A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6"/>
  <sheetViews>
    <sheetView workbookViewId="0">
      <selection activeCell="D17" sqref="A1:F46"/>
    </sheetView>
  </sheetViews>
  <sheetFormatPr defaultRowHeight="15" x14ac:dyDescent="0.25"/>
  <cols>
    <col min="1" max="1" width="22.140625" bestFit="1" customWidth="1"/>
    <col min="2" max="2" width="39.140625" bestFit="1" customWidth="1"/>
    <col min="3" max="3" width="79.85546875" bestFit="1" customWidth="1"/>
    <col min="4" max="4" width="12.42578125" bestFit="1" customWidth="1"/>
    <col min="5" max="5" width="8.5703125" bestFit="1" customWidth="1"/>
    <col min="6" max="6" width="14.7109375" bestFit="1" customWidth="1"/>
  </cols>
  <sheetData>
    <row r="1" spans="1:6" x14ac:dyDescent="0.25">
      <c r="A1" s="5" t="s">
        <v>331</v>
      </c>
      <c r="B1" s="5" t="s">
        <v>56</v>
      </c>
      <c r="C1" s="5" t="s">
        <v>332</v>
      </c>
      <c r="D1" s="5" t="s">
        <v>325</v>
      </c>
      <c r="E1" s="5" t="s">
        <v>60</v>
      </c>
      <c r="F1" s="5" t="s">
        <v>396</v>
      </c>
    </row>
    <row r="2" spans="1:6" hidden="1" x14ac:dyDescent="0.25">
      <c r="A2" t="s">
        <v>21</v>
      </c>
      <c r="B2" t="s">
        <v>299</v>
      </c>
      <c r="C2" t="s">
        <v>333</v>
      </c>
      <c r="D2" t="str">
        <f>VLOOKUP(A2,Chris!A3:A80,1,0)</f>
        <v>192.168.250.129</v>
      </c>
    </row>
    <row r="3" spans="1:6" hidden="1" x14ac:dyDescent="0.25">
      <c r="A3" t="s">
        <v>22</v>
      </c>
      <c r="B3" t="s">
        <v>302</v>
      </c>
      <c r="C3" t="s">
        <v>333</v>
      </c>
      <c r="D3" t="str">
        <f>VLOOKUP(A3,Chris!A4:A80,1,0)</f>
        <v>192.168.250.131</v>
      </c>
    </row>
    <row r="4" spans="1:6" hidden="1" x14ac:dyDescent="0.25">
      <c r="A4" t="s">
        <v>2</v>
      </c>
      <c r="B4" t="s">
        <v>245</v>
      </c>
      <c r="C4" t="s">
        <v>374</v>
      </c>
      <c r="D4" t="str">
        <f>VLOOKUP(A4,Chris!A5:A81,1,0)</f>
        <v>10.51.0.21</v>
      </c>
    </row>
    <row r="5" spans="1:6" hidden="1" x14ac:dyDescent="0.25">
      <c r="A5" t="s">
        <v>5</v>
      </c>
      <c r="B5" t="s">
        <v>252</v>
      </c>
      <c r="C5" t="s">
        <v>326</v>
      </c>
      <c r="D5" t="str">
        <f>VLOOKUP(A5,Chris!A6:A82,1,0)</f>
        <v>10.52.128.60</v>
      </c>
    </row>
    <row r="6" spans="1:6" hidden="1" x14ac:dyDescent="0.25">
      <c r="A6" t="s">
        <v>6</v>
      </c>
      <c r="B6" t="s">
        <v>254</v>
      </c>
      <c r="C6" t="s">
        <v>326</v>
      </c>
      <c r="D6" t="str">
        <f>VLOOKUP(A6,Chris!A7:A83,1,0)</f>
        <v>10.52.128.61</v>
      </c>
    </row>
    <row r="7" spans="1:6" hidden="1" x14ac:dyDescent="0.25">
      <c r="A7" t="s">
        <v>7</v>
      </c>
      <c r="B7" t="s">
        <v>256</v>
      </c>
      <c r="C7" t="s">
        <v>326</v>
      </c>
      <c r="D7" t="str">
        <f>VLOOKUP(A7,Chris!A8:A84,1,0)</f>
        <v>10.52.128.67</v>
      </c>
    </row>
    <row r="8" spans="1:6" hidden="1" x14ac:dyDescent="0.25">
      <c r="A8" t="s">
        <v>8</v>
      </c>
      <c r="B8" t="s">
        <v>258</v>
      </c>
      <c r="C8" t="s">
        <v>326</v>
      </c>
      <c r="D8" t="str">
        <f>VLOOKUP(A8,Chris!A9:A85,1,0)</f>
        <v>10.52.128.69</v>
      </c>
    </row>
    <row r="9" spans="1:6" hidden="1" x14ac:dyDescent="0.25">
      <c r="A9" t="s">
        <v>9</v>
      </c>
      <c r="B9" t="s">
        <v>260</v>
      </c>
      <c r="C9" t="s">
        <v>326</v>
      </c>
      <c r="D9" t="str">
        <f>VLOOKUP(A9,Chris!A10:A86,1,0)</f>
        <v>10.52.133.58</v>
      </c>
    </row>
    <row r="10" spans="1:6" hidden="1" x14ac:dyDescent="0.25">
      <c r="A10" t="s">
        <v>10</v>
      </c>
      <c r="B10" t="s">
        <v>264</v>
      </c>
      <c r="C10" t="s">
        <v>326</v>
      </c>
      <c r="D10" t="str">
        <f>VLOOKUP(A10,Chris!A11:A87,1,0)</f>
        <v>10.52.133.59</v>
      </c>
    </row>
    <row r="11" spans="1:6" hidden="1" x14ac:dyDescent="0.25">
      <c r="A11" t="s">
        <v>11</v>
      </c>
      <c r="B11" t="s">
        <v>268</v>
      </c>
      <c r="C11" t="s">
        <v>326</v>
      </c>
      <c r="D11" t="str">
        <f>VLOOKUP(A11,Chris!A12:A88,1,0)</f>
        <v>10.52.133.60</v>
      </c>
    </row>
    <row r="12" spans="1:6" hidden="1" x14ac:dyDescent="0.25">
      <c r="A12" t="s">
        <v>12</v>
      </c>
      <c r="B12" t="s">
        <v>272</v>
      </c>
      <c r="C12" t="s">
        <v>326</v>
      </c>
      <c r="D12" t="str">
        <f>VLOOKUP(A12,Chris!A13:A89,1,0)</f>
        <v>10.52.133.61</v>
      </c>
    </row>
    <row r="13" spans="1:6" hidden="1" x14ac:dyDescent="0.25">
      <c r="A13" t="s">
        <v>13</v>
      </c>
      <c r="B13" t="s">
        <v>276</v>
      </c>
      <c r="C13" t="s">
        <v>326</v>
      </c>
      <c r="D13" t="e">
        <f>VLOOKUP(A13,Chris!A14:A90,1,0)</f>
        <v>#N/A</v>
      </c>
    </row>
    <row r="14" spans="1:6" hidden="1" x14ac:dyDescent="0.25">
      <c r="A14" t="s">
        <v>14</v>
      </c>
      <c r="B14" t="s">
        <v>256</v>
      </c>
      <c r="C14" t="s">
        <v>326</v>
      </c>
      <c r="D14" t="e">
        <f>VLOOKUP(A14,Chris!A15:A91,1,0)</f>
        <v>#N/A</v>
      </c>
    </row>
    <row r="15" spans="1:6" hidden="1" x14ac:dyDescent="0.25">
      <c r="A15" t="s">
        <v>15</v>
      </c>
      <c r="B15" t="s">
        <v>280</v>
      </c>
      <c r="C15" t="s">
        <v>326</v>
      </c>
      <c r="D15" t="e">
        <f>VLOOKUP(A15,Chris!A16:A92,1,0)</f>
        <v>#N/A</v>
      </c>
    </row>
    <row r="16" spans="1:6" hidden="1" x14ac:dyDescent="0.25">
      <c r="A16" t="s">
        <v>16</v>
      </c>
      <c r="B16" t="s">
        <v>258</v>
      </c>
      <c r="C16" t="s">
        <v>326</v>
      </c>
      <c r="D16" t="e">
        <f>VLOOKUP(A16,Chris!A17:A93,1,0)</f>
        <v>#N/A</v>
      </c>
    </row>
    <row r="17" spans="1:6" s="3" customFormat="1" x14ac:dyDescent="0.25">
      <c r="A17" s="3" t="s">
        <v>17</v>
      </c>
      <c r="B17" s="3" t="s">
        <v>322</v>
      </c>
      <c r="C17" s="3" t="s">
        <v>374</v>
      </c>
      <c r="D17" s="3" t="str">
        <f>VLOOKUP(A17,Chris!A18:A94,1,0)</f>
        <v>10.206.19.107</v>
      </c>
      <c r="F17" s="3" t="s">
        <v>480</v>
      </c>
    </row>
    <row r="18" spans="1:6" s="3" customFormat="1" x14ac:dyDescent="0.25">
      <c r="A18" s="3" t="s">
        <v>434</v>
      </c>
      <c r="B18" s="3" t="s">
        <v>423</v>
      </c>
      <c r="C18" s="3" t="s">
        <v>424</v>
      </c>
      <c r="D18" s="3" t="str">
        <f>VLOOKUP(A18,Chris!A19:A95,1,0)</f>
        <v>10.220.20.141</v>
      </c>
      <c r="F18" s="3" t="s">
        <v>311</v>
      </c>
    </row>
    <row r="19" spans="1:6" s="3" customFormat="1" x14ac:dyDescent="0.25">
      <c r="A19" s="3" t="s">
        <v>435</v>
      </c>
      <c r="B19" s="3" t="s">
        <v>425</v>
      </c>
      <c r="C19" s="3" t="s">
        <v>424</v>
      </c>
      <c r="D19" s="3" t="str">
        <f>VLOOKUP(A19,Chris!A20:A96,1,0)</f>
        <v>10.220.20.142</v>
      </c>
      <c r="F19" s="3" t="s">
        <v>311</v>
      </c>
    </row>
    <row r="20" spans="1:6" s="3" customFormat="1" x14ac:dyDescent="0.25">
      <c r="A20" s="3" t="s">
        <v>436</v>
      </c>
      <c r="B20" s="3" t="s">
        <v>426</v>
      </c>
      <c r="C20" s="3" t="s">
        <v>424</v>
      </c>
      <c r="D20" s="3" t="str">
        <f>VLOOKUP(A20,Chris!A21:A97,1,0)</f>
        <v>10.220.20.143</v>
      </c>
      <c r="F20" s="3" t="s">
        <v>311</v>
      </c>
    </row>
    <row r="21" spans="1:6" s="3" customFormat="1" x14ac:dyDescent="0.25">
      <c r="A21" s="3" t="s">
        <v>437</v>
      </c>
      <c r="B21" s="3" t="s">
        <v>427</v>
      </c>
      <c r="C21" s="3" t="s">
        <v>424</v>
      </c>
      <c r="D21" s="3" t="str">
        <f>VLOOKUP(A21,Chris!A22:A98,1,0)</f>
        <v>10.220.20.144</v>
      </c>
      <c r="F21" s="3" t="s">
        <v>311</v>
      </c>
    </row>
    <row r="22" spans="1:6" s="3" customFormat="1" x14ac:dyDescent="0.25">
      <c r="A22" s="3" t="s">
        <v>471</v>
      </c>
      <c r="B22" s="3" t="s">
        <v>455</v>
      </c>
      <c r="C22" s="3" t="s">
        <v>454</v>
      </c>
      <c r="D22" s="3" t="e">
        <f>VLOOKUP(A22,Chris!A23:A99,1,0)</f>
        <v>#N/A</v>
      </c>
      <c r="E22" s="3" t="s">
        <v>86</v>
      </c>
      <c r="F22" s="3" t="s">
        <v>311</v>
      </c>
    </row>
    <row r="23" spans="1:6" s="3" customFormat="1" x14ac:dyDescent="0.25">
      <c r="A23" s="3" t="s">
        <v>472</v>
      </c>
      <c r="B23" s="3" t="s">
        <v>456</v>
      </c>
      <c r="C23" s="3" t="s">
        <v>454</v>
      </c>
      <c r="D23" s="3" t="e">
        <f>VLOOKUP(A23,Chris!A24:A100,1,0)</f>
        <v>#N/A</v>
      </c>
      <c r="E23" s="3" t="s">
        <v>86</v>
      </c>
      <c r="F23" s="3" t="s">
        <v>311</v>
      </c>
    </row>
    <row r="24" spans="1:6" s="3" customFormat="1" x14ac:dyDescent="0.25">
      <c r="A24" s="3" t="s">
        <v>473</v>
      </c>
      <c r="B24" s="3" t="s">
        <v>457</v>
      </c>
      <c r="C24" s="3" t="s">
        <v>454</v>
      </c>
      <c r="D24" s="3" t="e">
        <f>VLOOKUP(A24,Chris!A25:A101,1,0)</f>
        <v>#N/A</v>
      </c>
      <c r="E24" s="3" t="s">
        <v>86</v>
      </c>
      <c r="F24" s="3" t="s">
        <v>311</v>
      </c>
    </row>
    <row r="25" spans="1:6" s="3" customFormat="1" x14ac:dyDescent="0.25">
      <c r="A25" s="3" t="s">
        <v>474</v>
      </c>
      <c r="B25" s="3" t="s">
        <v>457</v>
      </c>
      <c r="C25" s="3" t="s">
        <v>454</v>
      </c>
      <c r="D25" s="3" t="e">
        <f>VLOOKUP(A25,Chris!A26:A102,1,0)</f>
        <v>#N/A</v>
      </c>
      <c r="E25" s="3" t="s">
        <v>86</v>
      </c>
      <c r="F25" s="3" t="s">
        <v>311</v>
      </c>
    </row>
    <row r="26" spans="1:6" s="3" customFormat="1" x14ac:dyDescent="0.25">
      <c r="A26" s="3" t="s">
        <v>475</v>
      </c>
      <c r="B26" s="3" t="s">
        <v>459</v>
      </c>
      <c r="C26" s="3" t="s">
        <v>453</v>
      </c>
      <c r="D26" s="3" t="e">
        <f>VLOOKUP(A26,Chris!A27:A103,1,0)</f>
        <v>#N/A</v>
      </c>
      <c r="E26" s="20" t="s">
        <v>482</v>
      </c>
      <c r="F26" s="3" t="s">
        <v>489</v>
      </c>
    </row>
    <row r="27" spans="1:6" hidden="1" x14ac:dyDescent="0.25">
      <c r="A27" t="s">
        <v>25</v>
      </c>
      <c r="B27" t="s">
        <v>118</v>
      </c>
      <c r="C27" t="s">
        <v>326</v>
      </c>
      <c r="D27" t="str">
        <f>VLOOKUP(A27,Chris!A28:A104,1,0)</f>
        <v>10.52.130.98</v>
      </c>
    </row>
    <row r="28" spans="1:6" hidden="1" x14ac:dyDescent="0.25">
      <c r="A28" t="s">
        <v>26</v>
      </c>
      <c r="B28" t="s">
        <v>123</v>
      </c>
      <c r="C28" t="s">
        <v>326</v>
      </c>
      <c r="D28" t="str">
        <f>VLOOKUP(A28,Chris!A29:A105,1,0)</f>
        <v>10.52.134.51</v>
      </c>
    </row>
    <row r="29" spans="1:6" s="3" customFormat="1" x14ac:dyDescent="0.25">
      <c r="A29" s="3" t="s">
        <v>476</v>
      </c>
      <c r="B29" s="3" t="s">
        <v>460</v>
      </c>
      <c r="C29" s="3" t="s">
        <v>453</v>
      </c>
      <c r="D29" s="3" t="e">
        <f>VLOOKUP(A29,Chris!A30:A106,1,0)</f>
        <v>#N/A</v>
      </c>
      <c r="E29" s="20" t="s">
        <v>481</v>
      </c>
      <c r="F29" s="3" t="s">
        <v>489</v>
      </c>
    </row>
    <row r="30" spans="1:6" hidden="1" x14ac:dyDescent="0.25">
      <c r="A30" t="s">
        <v>27</v>
      </c>
      <c r="B30" t="s">
        <v>126</v>
      </c>
      <c r="C30" t="s">
        <v>361</v>
      </c>
      <c r="D30" t="str">
        <f>VLOOKUP(A30,Chris!A31:A107,1,0)</f>
        <v>10.52.142.57</v>
      </c>
    </row>
    <row r="31" spans="1:6" hidden="1" x14ac:dyDescent="0.25">
      <c r="A31" t="s">
        <v>28</v>
      </c>
      <c r="B31" t="s">
        <v>131</v>
      </c>
      <c r="C31" t="s">
        <v>365</v>
      </c>
      <c r="D31" t="e">
        <f>VLOOKUP(A31,Chris!A32:A108,1,0)</f>
        <v>#N/A</v>
      </c>
    </row>
    <row r="32" spans="1:6" hidden="1" x14ac:dyDescent="0.25">
      <c r="A32" t="s">
        <v>29</v>
      </c>
      <c r="B32" t="s">
        <v>134</v>
      </c>
      <c r="C32" t="s">
        <v>376</v>
      </c>
      <c r="D32" t="str">
        <f>VLOOKUP(A32,Chris!A33:A109,1,0)</f>
        <v>10.59.176.75</v>
      </c>
    </row>
    <row r="33" spans="1:6" s="3" customFormat="1" x14ac:dyDescent="0.25">
      <c r="A33" s="3" t="s">
        <v>30</v>
      </c>
      <c r="B33" s="3" t="s">
        <v>319</v>
      </c>
      <c r="C33" s="3" t="s">
        <v>359</v>
      </c>
      <c r="D33" s="3" t="e">
        <f>VLOOKUP(A33,Chris!A34:A110,1,0)</f>
        <v>#N/A</v>
      </c>
      <c r="F33" s="3" t="s">
        <v>483</v>
      </c>
    </row>
    <row r="34" spans="1:6" s="3" customFormat="1" x14ac:dyDescent="0.25">
      <c r="A34" s="3" t="s">
        <v>31</v>
      </c>
      <c r="B34" s="3" t="s">
        <v>318</v>
      </c>
      <c r="C34" s="3" t="s">
        <v>339</v>
      </c>
      <c r="D34" s="3" t="e">
        <f>VLOOKUP(A34,Chris!A35:A111,1,0)</f>
        <v>#N/A</v>
      </c>
      <c r="F34" s="3" t="s">
        <v>483</v>
      </c>
    </row>
    <row r="35" spans="1:6" s="3" customFormat="1" x14ac:dyDescent="0.25">
      <c r="A35" s="3" t="s">
        <v>32</v>
      </c>
      <c r="B35" s="3" t="s">
        <v>316</v>
      </c>
      <c r="C35" s="3" t="s">
        <v>339</v>
      </c>
      <c r="D35" s="3" t="e">
        <f>VLOOKUP(A35,Chris!A36:A112,1,0)</f>
        <v>#N/A</v>
      </c>
      <c r="F35" s="3" t="s">
        <v>483</v>
      </c>
    </row>
    <row r="36" spans="1:6" s="3" customFormat="1" x14ac:dyDescent="0.25">
      <c r="A36" s="3" t="s">
        <v>33</v>
      </c>
      <c r="B36" s="3" t="s">
        <v>315</v>
      </c>
      <c r="C36" s="3" t="s">
        <v>347</v>
      </c>
      <c r="D36" s="3" t="e">
        <f>VLOOKUP(A36,Chris!A37:A113,1,0)</f>
        <v>#N/A</v>
      </c>
      <c r="F36" s="3" t="s">
        <v>483</v>
      </c>
    </row>
    <row r="37" spans="1:6" s="3" customFormat="1" x14ac:dyDescent="0.25">
      <c r="A37" s="3" t="s">
        <v>34</v>
      </c>
      <c r="B37" s="3" t="s">
        <v>155</v>
      </c>
      <c r="C37" s="3" t="s">
        <v>329</v>
      </c>
      <c r="D37" s="3" t="e">
        <f>VLOOKUP(A37,Chris!A38:A114,1,0)</f>
        <v>#N/A</v>
      </c>
      <c r="E37" s="3" t="s">
        <v>484</v>
      </c>
      <c r="F37" s="3" t="s">
        <v>311</v>
      </c>
    </row>
    <row r="38" spans="1:6" s="3" customFormat="1" x14ac:dyDescent="0.25">
      <c r="A38" s="3" t="s">
        <v>35</v>
      </c>
      <c r="B38" s="3" t="s">
        <v>160</v>
      </c>
      <c r="C38" s="3" t="s">
        <v>329</v>
      </c>
      <c r="D38" s="3" t="e">
        <f>VLOOKUP(A38,Chris!A39:A115,1,0)</f>
        <v>#N/A</v>
      </c>
      <c r="E38" s="3" t="s">
        <v>484</v>
      </c>
      <c r="F38" s="3" t="s">
        <v>311</v>
      </c>
    </row>
    <row r="39" spans="1:6" s="3" customFormat="1" x14ac:dyDescent="0.25">
      <c r="A39" s="3" t="s">
        <v>477</v>
      </c>
      <c r="B39" s="3" t="s">
        <v>461</v>
      </c>
      <c r="C39" s="3" t="s">
        <v>452</v>
      </c>
      <c r="D39" s="3" t="e">
        <f>VLOOKUP(A39,Chris!A40:A116,1,0)</f>
        <v>#N/A</v>
      </c>
      <c r="E39" s="3" t="s">
        <v>485</v>
      </c>
      <c r="F39" s="3" t="s">
        <v>489</v>
      </c>
    </row>
    <row r="40" spans="1:6" s="3" customFormat="1" x14ac:dyDescent="0.25">
      <c r="A40" s="3" t="s">
        <v>478</v>
      </c>
      <c r="B40" s="3" t="s">
        <v>462</v>
      </c>
      <c r="C40" s="3" t="s">
        <v>451</v>
      </c>
      <c r="D40" s="3" t="e">
        <f>VLOOKUP(A40,Chris!A41:A117,1,0)</f>
        <v>#N/A</v>
      </c>
      <c r="E40" s="3" t="s">
        <v>485</v>
      </c>
      <c r="F40" s="3" t="s">
        <v>489</v>
      </c>
    </row>
    <row r="41" spans="1:6" s="3" customFormat="1" x14ac:dyDescent="0.25">
      <c r="A41" s="3" t="s">
        <v>39</v>
      </c>
      <c r="B41" s="3" t="s">
        <v>340</v>
      </c>
      <c r="C41" s="3" t="s">
        <v>341</v>
      </c>
      <c r="D41" s="3" t="e">
        <f>VLOOKUP(A41,Chris!A42:A118,1,0)</f>
        <v>#N/A</v>
      </c>
      <c r="F41" s="3" t="s">
        <v>483</v>
      </c>
    </row>
    <row r="42" spans="1:6" s="3" customFormat="1" x14ac:dyDescent="0.25">
      <c r="A42" s="3" t="s">
        <v>479</v>
      </c>
      <c r="B42" s="3" t="s">
        <v>458</v>
      </c>
      <c r="C42" s="3" t="s">
        <v>450</v>
      </c>
      <c r="D42" s="3" t="e">
        <f>VLOOKUP(A42,Chris!A43:A119,1,0)</f>
        <v>#N/A</v>
      </c>
      <c r="E42" s="3" t="s">
        <v>490</v>
      </c>
      <c r="F42" s="3" t="s">
        <v>483</v>
      </c>
    </row>
    <row r="43" spans="1:6" s="2" customFormat="1" x14ac:dyDescent="0.25">
      <c r="A43" s="2" t="s">
        <v>44</v>
      </c>
      <c r="B43" s="2" t="s">
        <v>324</v>
      </c>
      <c r="C43" s="2" t="s">
        <v>380</v>
      </c>
      <c r="D43" s="2" t="e">
        <f>VLOOKUP(A43,Chris!A44:A120,1,0)</f>
        <v>#N/A</v>
      </c>
    </row>
    <row r="44" spans="1:6" hidden="1" x14ac:dyDescent="0.25">
      <c r="A44" t="s">
        <v>54</v>
      </c>
      <c r="B44" t="s">
        <v>306</v>
      </c>
      <c r="C44" t="s">
        <v>327</v>
      </c>
      <c r="D44" t="str">
        <f>VLOOKUP(A44,Chris!A45:A121,1,0)</f>
        <v>163.231.83.217</v>
      </c>
    </row>
    <row r="45" spans="1:6" hidden="1" x14ac:dyDescent="0.25">
      <c r="A45" t="s">
        <v>413</v>
      </c>
      <c r="B45" t="s">
        <v>414</v>
      </c>
      <c r="C45" t="s">
        <v>403</v>
      </c>
      <c r="D45" t="str">
        <f>VLOOKUP(A45,Chris!A46:A122,1,0)</f>
        <v>163.231.94.89</v>
      </c>
    </row>
    <row r="46" spans="1:6" hidden="1" x14ac:dyDescent="0.25">
      <c r="A46" t="s">
        <v>55</v>
      </c>
      <c r="B46" t="s">
        <v>242</v>
      </c>
      <c r="C46" t="s">
        <v>373</v>
      </c>
      <c r="D46" t="str">
        <f>VLOOKUP(A46,Chris!A47:A123,1,0)</f>
        <v>163.231.99.40</v>
      </c>
    </row>
  </sheetData>
  <autoFilter ref="A1:F46">
    <filterColumn colId="3">
      <filters>
        <filter val="#N/A"/>
      </filters>
    </filterColumn>
  </autoFilter>
  <hyperlinks>
    <hyperlink ref="E29" r:id="rId1"/>
    <hyperlink ref="E26" r:id="rId2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6"/>
  <sheetViews>
    <sheetView workbookViewId="0">
      <selection activeCell="C36" sqref="A1:F36"/>
    </sheetView>
  </sheetViews>
  <sheetFormatPr defaultRowHeight="15" x14ac:dyDescent="0.25"/>
  <cols>
    <col min="1" max="1" width="22.140625" bestFit="1" customWidth="1"/>
    <col min="2" max="2" width="39.140625" bestFit="1" customWidth="1"/>
    <col min="3" max="3" width="79.85546875" bestFit="1" customWidth="1"/>
    <col min="4" max="4" width="12.42578125" bestFit="1" customWidth="1"/>
    <col min="5" max="5" width="18.42578125" bestFit="1" customWidth="1"/>
    <col min="6" max="6" width="14.7109375" bestFit="1" customWidth="1"/>
  </cols>
  <sheetData>
    <row r="1" spans="1:6" x14ac:dyDescent="0.25">
      <c r="A1" s="5" t="s">
        <v>331</v>
      </c>
      <c r="B1" s="5" t="s">
        <v>56</v>
      </c>
      <c r="C1" s="5" t="s">
        <v>332</v>
      </c>
      <c r="D1" s="5" t="s">
        <v>325</v>
      </c>
      <c r="E1" s="5" t="s">
        <v>60</v>
      </c>
      <c r="F1" s="5" t="s">
        <v>396</v>
      </c>
    </row>
    <row r="2" spans="1:6" s="3" customFormat="1" x14ac:dyDescent="0.25">
      <c r="A2" s="3" t="s">
        <v>499</v>
      </c>
      <c r="B2" s="3" t="s">
        <v>514</v>
      </c>
      <c r="C2" s="3" t="s">
        <v>491</v>
      </c>
      <c r="D2" s="3" t="e">
        <f>VLOOKUP(A2,Chris!A2:A80,1,0)</f>
        <v>#N/A</v>
      </c>
      <c r="E2" s="3" t="s">
        <v>532</v>
      </c>
      <c r="F2" s="3" t="s">
        <v>311</v>
      </c>
    </row>
    <row r="3" spans="1:6" s="3" customFormat="1" x14ac:dyDescent="0.25">
      <c r="A3" s="3" t="s">
        <v>500</v>
      </c>
      <c r="B3" s="3" t="s">
        <v>515</v>
      </c>
      <c r="C3" s="3" t="s">
        <v>492</v>
      </c>
      <c r="D3" s="3" t="e">
        <f>VLOOKUP(A3,Chris!A3:A80,1,0)</f>
        <v>#N/A</v>
      </c>
      <c r="E3" s="3" t="s">
        <v>532</v>
      </c>
      <c r="F3" s="3" t="s">
        <v>311</v>
      </c>
    </row>
    <row r="4" spans="1:6" s="3" customFormat="1" x14ac:dyDescent="0.25">
      <c r="A4" s="3" t="s">
        <v>501</v>
      </c>
      <c r="B4" s="3" t="s">
        <v>516</v>
      </c>
      <c r="C4" s="3" t="s">
        <v>492</v>
      </c>
      <c r="D4" s="3" t="e">
        <f>VLOOKUP(A4,Chris!A4:A81,1,0)</f>
        <v>#N/A</v>
      </c>
      <c r="E4" s="3" t="s">
        <v>532</v>
      </c>
      <c r="F4" s="3" t="s">
        <v>311</v>
      </c>
    </row>
    <row r="5" spans="1:6" s="3" customFormat="1" x14ac:dyDescent="0.25">
      <c r="A5" s="3" t="s">
        <v>502</v>
      </c>
      <c r="B5" s="3" t="s">
        <v>517</v>
      </c>
      <c r="C5" s="3" t="s">
        <v>493</v>
      </c>
      <c r="D5" s="3" t="e">
        <f>VLOOKUP(A5,Chris!A5:A82,1,0)</f>
        <v>#N/A</v>
      </c>
      <c r="E5" s="3" t="s">
        <v>532</v>
      </c>
      <c r="F5" s="3" t="s">
        <v>311</v>
      </c>
    </row>
    <row r="6" spans="1:6" s="3" customFormat="1" x14ac:dyDescent="0.25">
      <c r="A6" s="3" t="s">
        <v>503</v>
      </c>
      <c r="B6" s="3" t="s">
        <v>518</v>
      </c>
      <c r="C6" s="3" t="s">
        <v>492</v>
      </c>
      <c r="D6" s="3" t="e">
        <f>VLOOKUP(A6,Chris!A6:A83,1,0)</f>
        <v>#N/A</v>
      </c>
      <c r="E6" s="3" t="s">
        <v>532</v>
      </c>
      <c r="F6" s="3" t="s">
        <v>311</v>
      </c>
    </row>
    <row r="7" spans="1:6" hidden="1" x14ac:dyDescent="0.25">
      <c r="A7" t="s">
        <v>22</v>
      </c>
      <c r="B7" t="s">
        <v>302</v>
      </c>
      <c r="C7" t="s">
        <v>333</v>
      </c>
      <c r="D7" t="str">
        <f>VLOOKUP(A7,Chris!A7:A84,1,0)</f>
        <v>192.168.250.131</v>
      </c>
    </row>
    <row r="8" spans="1:6" s="3" customFormat="1" x14ac:dyDescent="0.25">
      <c r="A8" s="3" t="s">
        <v>475</v>
      </c>
      <c r="B8" s="3" t="s">
        <v>519</v>
      </c>
      <c r="C8" s="3" t="s">
        <v>453</v>
      </c>
      <c r="D8" s="3" t="e">
        <f>VLOOKUP(A8,Chris!A8:A85,1,0)</f>
        <v>#N/A</v>
      </c>
      <c r="E8" s="3" t="s">
        <v>85</v>
      </c>
      <c r="F8" s="3" t="s">
        <v>311</v>
      </c>
    </row>
    <row r="9" spans="1:6" s="3" customFormat="1" x14ac:dyDescent="0.25">
      <c r="A9" s="3" t="s">
        <v>504</v>
      </c>
      <c r="B9" s="3" t="s">
        <v>520</v>
      </c>
      <c r="C9" s="3" t="s">
        <v>494</v>
      </c>
      <c r="D9" s="3" t="e">
        <f>VLOOKUP(A9,Chris!A9:A86,1,0)</f>
        <v>#N/A</v>
      </c>
      <c r="E9" s="3" t="s">
        <v>533</v>
      </c>
      <c r="F9" s="3" t="s">
        <v>311</v>
      </c>
    </row>
    <row r="10" spans="1:6" hidden="1" x14ac:dyDescent="0.25">
      <c r="A10" t="s">
        <v>25</v>
      </c>
      <c r="B10" t="s">
        <v>118</v>
      </c>
      <c r="C10" t="s">
        <v>326</v>
      </c>
      <c r="D10" t="str">
        <f>VLOOKUP(A10,Chris!A10:A87,1,0)</f>
        <v>10.52.130.98</v>
      </c>
    </row>
    <row r="11" spans="1:6" hidden="1" x14ac:dyDescent="0.25">
      <c r="A11" t="s">
        <v>26</v>
      </c>
      <c r="B11" t="s">
        <v>123</v>
      </c>
      <c r="C11" t="s">
        <v>326</v>
      </c>
      <c r="D11" t="str">
        <f>VLOOKUP(A11,Chris!A11:A88,1,0)</f>
        <v>10.52.134.51</v>
      </c>
    </row>
    <row r="12" spans="1:6" s="3" customFormat="1" x14ac:dyDescent="0.25">
      <c r="A12" s="3" t="s">
        <v>476</v>
      </c>
      <c r="B12" s="3" t="s">
        <v>521</v>
      </c>
      <c r="C12" s="3" t="s">
        <v>453</v>
      </c>
      <c r="D12" s="3" t="e">
        <f>VLOOKUP(A12,Chris!A12:A89,1,0)</f>
        <v>#N/A</v>
      </c>
      <c r="E12" s="3" t="s">
        <v>85</v>
      </c>
      <c r="F12" s="3" t="s">
        <v>311</v>
      </c>
    </row>
    <row r="13" spans="1:6" hidden="1" x14ac:dyDescent="0.25">
      <c r="A13" t="s">
        <v>27</v>
      </c>
      <c r="B13" t="s">
        <v>126</v>
      </c>
      <c r="C13" t="s">
        <v>361</v>
      </c>
      <c r="D13" t="str">
        <f>VLOOKUP(A13,Chris!A13:A90,1,0)</f>
        <v>10.52.142.57</v>
      </c>
    </row>
    <row r="14" spans="1:6" hidden="1" x14ac:dyDescent="0.25">
      <c r="A14" t="s">
        <v>29</v>
      </c>
      <c r="B14" t="s">
        <v>134</v>
      </c>
      <c r="C14" t="s">
        <v>376</v>
      </c>
      <c r="D14" t="str">
        <f>VLOOKUP(A14,Chris!A14:A91,1,0)</f>
        <v>10.59.176.75</v>
      </c>
    </row>
    <row r="15" spans="1:6" s="3" customFormat="1" x14ac:dyDescent="0.25">
      <c r="A15" s="3" t="s">
        <v>505</v>
      </c>
      <c r="B15" s="3" t="s">
        <v>522</v>
      </c>
      <c r="C15" s="3" t="s">
        <v>495</v>
      </c>
      <c r="D15" s="3" t="e">
        <f>VLOOKUP(A15,Chris!A15:A92,1,0)</f>
        <v>#N/A</v>
      </c>
      <c r="E15" s="3" t="s">
        <v>85</v>
      </c>
      <c r="F15" s="3" t="s">
        <v>311</v>
      </c>
    </row>
    <row r="16" spans="1:6" s="2" customFormat="1" x14ac:dyDescent="0.25">
      <c r="A16" s="3" t="s">
        <v>508</v>
      </c>
      <c r="B16" s="3" t="s">
        <v>527</v>
      </c>
      <c r="C16" s="3" t="s">
        <v>491</v>
      </c>
      <c r="D16" s="3" t="e">
        <f>VLOOKUP(A16,Chris!A25:A102,1,0)</f>
        <v>#N/A</v>
      </c>
      <c r="E16" s="3"/>
      <c r="F16" s="3" t="s">
        <v>311</v>
      </c>
    </row>
    <row r="17" spans="1:6" hidden="1" x14ac:dyDescent="0.25">
      <c r="A17" t="s">
        <v>31</v>
      </c>
      <c r="B17" t="s">
        <v>144</v>
      </c>
      <c r="C17" t="s">
        <v>339</v>
      </c>
      <c r="D17" t="e">
        <f>VLOOKUP(A17,Chris!A17:A94,1,0)</f>
        <v>#N/A</v>
      </c>
    </row>
    <row r="18" spans="1:6" hidden="1" x14ac:dyDescent="0.25">
      <c r="A18" t="s">
        <v>32</v>
      </c>
      <c r="B18" t="s">
        <v>148</v>
      </c>
      <c r="C18" t="s">
        <v>339</v>
      </c>
      <c r="D18" t="e">
        <f>VLOOKUP(A18,Chris!A18:A95,1,0)</f>
        <v>#N/A</v>
      </c>
    </row>
    <row r="19" spans="1:6" s="2" customFormat="1" x14ac:dyDescent="0.25">
      <c r="A19" s="3" t="s">
        <v>511</v>
      </c>
      <c r="B19" s="3" t="s">
        <v>530</v>
      </c>
      <c r="C19" s="3" t="s">
        <v>498</v>
      </c>
      <c r="D19" s="3" t="e">
        <f>VLOOKUP(A19,Chris!A33:A110,1,0)</f>
        <v>#N/A</v>
      </c>
      <c r="E19" s="3" t="s">
        <v>85</v>
      </c>
      <c r="F19" s="3" t="s">
        <v>311</v>
      </c>
    </row>
    <row r="20" spans="1:6" s="2" customFormat="1" x14ac:dyDescent="0.25">
      <c r="A20" s="3" t="s">
        <v>512</v>
      </c>
      <c r="B20" s="3" t="s">
        <v>531</v>
      </c>
      <c r="C20" s="3" t="s">
        <v>498</v>
      </c>
      <c r="D20" s="3" t="e">
        <f>VLOOKUP(A20,Chris!A34:A111,1,0)</f>
        <v>#N/A</v>
      </c>
      <c r="E20" s="3" t="s">
        <v>85</v>
      </c>
      <c r="F20" s="3" t="s">
        <v>311</v>
      </c>
    </row>
    <row r="21" spans="1:6" s="4" customFormat="1" x14ac:dyDescent="0.25">
      <c r="A21" s="3" t="s">
        <v>513</v>
      </c>
      <c r="B21" s="3" t="s">
        <v>456</v>
      </c>
      <c r="C21" s="3" t="s">
        <v>495</v>
      </c>
      <c r="D21" s="3" t="e">
        <f>VLOOKUP(A21,Chris!A36:A113,1,0)</f>
        <v>#N/A</v>
      </c>
      <c r="E21" s="3" t="s">
        <v>85</v>
      </c>
      <c r="F21" s="3" t="s">
        <v>311</v>
      </c>
    </row>
    <row r="22" spans="1:6" s="3" customFormat="1" x14ac:dyDescent="0.25">
      <c r="A22" s="3" t="s">
        <v>30</v>
      </c>
      <c r="B22" s="3" t="s">
        <v>140</v>
      </c>
      <c r="C22" s="3" t="s">
        <v>359</v>
      </c>
      <c r="D22" s="3" t="e">
        <f>VLOOKUP(A22,Chris!A16:A93,1,0)</f>
        <v>#N/A</v>
      </c>
      <c r="E22" s="3" t="s">
        <v>534</v>
      </c>
    </row>
    <row r="23" spans="1:6" s="3" customFormat="1" x14ac:dyDescent="0.25">
      <c r="A23" s="3" t="s">
        <v>33</v>
      </c>
      <c r="B23" s="3" t="s">
        <v>151</v>
      </c>
      <c r="C23" s="3" t="s">
        <v>347</v>
      </c>
      <c r="D23" s="3" t="e">
        <f>VLOOKUP(A23,Chris!A19:A96,1,0)</f>
        <v>#N/A</v>
      </c>
      <c r="E23" s="3" t="s">
        <v>534</v>
      </c>
    </row>
    <row r="24" spans="1:6" hidden="1" x14ac:dyDescent="0.25">
      <c r="A24" t="s">
        <v>39</v>
      </c>
      <c r="B24" t="s">
        <v>176</v>
      </c>
      <c r="C24" t="s">
        <v>341</v>
      </c>
      <c r="D24" t="e">
        <f>VLOOKUP(A24,Chris!A24:A101,1,0)</f>
        <v>#N/A</v>
      </c>
    </row>
    <row r="25" spans="1:6" s="3" customFormat="1" x14ac:dyDescent="0.25">
      <c r="A25" s="2" t="s">
        <v>506</v>
      </c>
      <c r="B25" s="2" t="s">
        <v>523</v>
      </c>
      <c r="C25" s="2" t="s">
        <v>493</v>
      </c>
      <c r="D25" s="2" t="e">
        <f>VLOOKUP(A25,Chris!A20:A97,1,0)</f>
        <v>#N/A</v>
      </c>
      <c r="E25" s="2"/>
      <c r="F25" s="2"/>
    </row>
    <row r="26" spans="1:6" s="2" customFormat="1" x14ac:dyDescent="0.25">
      <c r="A26" s="2" t="s">
        <v>477</v>
      </c>
      <c r="B26" s="2" t="s">
        <v>524</v>
      </c>
      <c r="C26" s="2" t="s">
        <v>452</v>
      </c>
      <c r="D26" s="2" t="e">
        <f>VLOOKUP(A26,Chris!A21:A98,1,0)</f>
        <v>#N/A</v>
      </c>
      <c r="E26" s="2" t="s">
        <v>485</v>
      </c>
    </row>
    <row r="27" spans="1:6" s="2" customFormat="1" x14ac:dyDescent="0.25">
      <c r="A27" s="2" t="s">
        <v>507</v>
      </c>
      <c r="B27" s="2" t="s">
        <v>525</v>
      </c>
      <c r="C27" s="2" t="s">
        <v>496</v>
      </c>
      <c r="D27" s="2" t="e">
        <f>VLOOKUP(A27,Chris!A22:A99,1,0)</f>
        <v>#N/A</v>
      </c>
      <c r="E27" s="2" t="s">
        <v>485</v>
      </c>
    </row>
    <row r="28" spans="1:6" s="2" customFormat="1" x14ac:dyDescent="0.25">
      <c r="A28" s="2" t="s">
        <v>478</v>
      </c>
      <c r="B28" s="2" t="s">
        <v>526</v>
      </c>
      <c r="C28" s="2" t="s">
        <v>451</v>
      </c>
      <c r="D28" s="2" t="e">
        <f>VLOOKUP(A28,Chris!A23:A100,1,0)</f>
        <v>#N/A</v>
      </c>
      <c r="E28" s="2" t="s">
        <v>485</v>
      </c>
    </row>
    <row r="29" spans="1:6" hidden="1" x14ac:dyDescent="0.25">
      <c r="A29" t="s">
        <v>54</v>
      </c>
      <c r="B29" t="s">
        <v>240</v>
      </c>
      <c r="C29" t="s">
        <v>327</v>
      </c>
      <c r="D29" t="str">
        <f>VLOOKUP(A29,Chris!A29:A106,1,0)</f>
        <v>163.231.83.217</v>
      </c>
    </row>
    <row r="30" spans="1:6" hidden="1" x14ac:dyDescent="0.25">
      <c r="A30" t="s">
        <v>413</v>
      </c>
      <c r="B30" t="s">
        <v>414</v>
      </c>
      <c r="C30" t="s">
        <v>403</v>
      </c>
      <c r="D30" t="str">
        <f>VLOOKUP(A30,Chris!A30:A107,1,0)</f>
        <v>163.231.94.89</v>
      </c>
    </row>
    <row r="31" spans="1:6" hidden="1" x14ac:dyDescent="0.25">
      <c r="A31" t="s">
        <v>55</v>
      </c>
      <c r="B31" t="s">
        <v>242</v>
      </c>
      <c r="C31" t="s">
        <v>373</v>
      </c>
      <c r="D31" t="str">
        <f>VLOOKUP(A31,Chris!A31:A108,1,0)</f>
        <v>163.231.99.40</v>
      </c>
    </row>
    <row r="32" spans="1:6" hidden="1" x14ac:dyDescent="0.25">
      <c r="A32" t="s">
        <v>2</v>
      </c>
      <c r="B32" t="s">
        <v>245</v>
      </c>
      <c r="C32" t="s">
        <v>374</v>
      </c>
      <c r="D32" t="str">
        <f>VLOOKUP(A32,Chris!A32:A109,1,0)</f>
        <v>10.51.0.21</v>
      </c>
    </row>
    <row r="33" spans="1:6" s="3" customFormat="1" x14ac:dyDescent="0.25">
      <c r="A33" t="s">
        <v>44</v>
      </c>
      <c r="B33" t="s">
        <v>324</v>
      </c>
      <c r="C33" t="s">
        <v>380</v>
      </c>
      <c r="D33" t="e">
        <f>VLOOKUP(A33,Chris!A26:A103,1,0)</f>
        <v>#N/A</v>
      </c>
      <c r="E33"/>
      <c r="F33"/>
    </row>
    <row r="34" spans="1:6" s="3" customFormat="1" x14ac:dyDescent="0.25">
      <c r="A34" s="4" t="s">
        <v>509</v>
      </c>
      <c r="B34" s="4" t="s">
        <v>528</v>
      </c>
      <c r="C34" s="4" t="s">
        <v>497</v>
      </c>
      <c r="D34" s="4" t="e">
        <f>VLOOKUP(A34,Chris!A27:A104,1,0)</f>
        <v>#N/A</v>
      </c>
      <c r="E34" s="4" t="s">
        <v>485</v>
      </c>
      <c r="F34" s="4"/>
    </row>
    <row r="35" spans="1:6" s="4" customFormat="1" x14ac:dyDescent="0.25">
      <c r="A35" s="4" t="s">
        <v>510</v>
      </c>
      <c r="B35" s="4" t="s">
        <v>529</v>
      </c>
      <c r="C35" s="4" t="s">
        <v>497</v>
      </c>
      <c r="D35" s="4" t="e">
        <f>VLOOKUP(A35,Chris!A28:A105,1,0)</f>
        <v>#N/A</v>
      </c>
      <c r="E35" s="4" t="s">
        <v>485</v>
      </c>
    </row>
    <row r="36" spans="1:6" s="3" customFormat="1" x14ac:dyDescent="0.25">
      <c r="A36" s="4" t="s">
        <v>17</v>
      </c>
      <c r="B36" s="4" t="s">
        <v>285</v>
      </c>
      <c r="C36" s="4" t="s">
        <v>374</v>
      </c>
      <c r="D36" s="4" t="e">
        <f>VLOOKUP(A36,Chris!A35:A112,1,0)</f>
        <v>#N/A</v>
      </c>
      <c r="E36" s="4"/>
      <c r="F36" s="4"/>
    </row>
  </sheetData>
  <autoFilter ref="A1:F36">
    <filterColumn colId="3">
      <filters>
        <filter val="#N/A"/>
      </filters>
    </filterColumn>
    <sortState ref="A2:F36">
      <sortCondition sortBy="cellColor" ref="B1:B36" dxfId="4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9"/>
  <sheetViews>
    <sheetView workbookViewId="0">
      <selection activeCell="C46" sqref="C46"/>
    </sheetView>
  </sheetViews>
  <sheetFormatPr defaultRowHeight="15" x14ac:dyDescent="0.25"/>
  <cols>
    <col min="1" max="1" width="14.85546875" bestFit="1" customWidth="1"/>
    <col min="2" max="2" width="32.5703125" bestFit="1" customWidth="1"/>
    <col min="3" max="3" width="79.85546875" bestFit="1" customWidth="1"/>
    <col min="4" max="4" width="14.85546875" bestFit="1" customWidth="1"/>
    <col min="5" max="5" width="21.140625" bestFit="1" customWidth="1"/>
    <col min="6" max="6" width="14.7109375" bestFit="1" customWidth="1"/>
  </cols>
  <sheetData>
    <row r="1" spans="1:6" x14ac:dyDescent="0.25">
      <c r="A1" s="5" t="s">
        <v>331</v>
      </c>
      <c r="B1" s="5" t="s">
        <v>56</v>
      </c>
      <c r="C1" s="5" t="s">
        <v>332</v>
      </c>
      <c r="D1" s="5" t="s">
        <v>325</v>
      </c>
      <c r="E1" s="5" t="s">
        <v>60</v>
      </c>
      <c r="F1" s="5" t="s">
        <v>396</v>
      </c>
    </row>
    <row r="2" spans="1:6" s="3" customFormat="1" x14ac:dyDescent="0.25">
      <c r="A2" s="3" t="s">
        <v>567</v>
      </c>
      <c r="B2" s="3" t="s">
        <v>542</v>
      </c>
      <c r="C2" s="3" t="s">
        <v>535</v>
      </c>
      <c r="D2" s="3" t="e">
        <f>VLOOKUP(A2,Chris!A3:A80,1,0)</f>
        <v>#N/A</v>
      </c>
      <c r="E2" s="3" t="s">
        <v>599</v>
      </c>
      <c r="F2" s="3" t="s">
        <v>311</v>
      </c>
    </row>
    <row r="3" spans="1:6" s="3" customFormat="1" x14ac:dyDescent="0.25">
      <c r="A3" s="3" t="s">
        <v>568</v>
      </c>
      <c r="B3" s="3" t="s">
        <v>543</v>
      </c>
      <c r="C3" s="3" t="s">
        <v>536</v>
      </c>
      <c r="D3" s="3" t="str">
        <f>VLOOKUP(A3,Chris!A4:A80,1,0)</f>
        <v>10.51.1.11</v>
      </c>
      <c r="E3" s="3" t="s">
        <v>599</v>
      </c>
      <c r="F3" s="3" t="s">
        <v>311</v>
      </c>
    </row>
    <row r="4" spans="1:6" s="2" customFormat="1" x14ac:dyDescent="0.25">
      <c r="A4" s="2" t="s">
        <v>569</v>
      </c>
      <c r="B4" s="2" t="s">
        <v>544</v>
      </c>
      <c r="C4" s="2" t="s">
        <v>537</v>
      </c>
      <c r="D4" s="2" t="e">
        <f>VLOOKUP(A4,Chris!A5:A81,1,0)</f>
        <v>#N/A</v>
      </c>
      <c r="E4" s="2" t="s">
        <v>592</v>
      </c>
    </row>
    <row r="5" spans="1:6" hidden="1" x14ac:dyDescent="0.25">
      <c r="A5" t="s">
        <v>25</v>
      </c>
      <c r="B5" t="s">
        <v>118</v>
      </c>
      <c r="C5" t="s">
        <v>326</v>
      </c>
      <c r="D5" t="str">
        <f>VLOOKUP(A5,Chris!A6:A82,1,0)</f>
        <v>10.52.130.98</v>
      </c>
    </row>
    <row r="6" spans="1:6" hidden="1" x14ac:dyDescent="0.25">
      <c r="A6" t="s">
        <v>26</v>
      </c>
      <c r="B6" t="s">
        <v>123</v>
      </c>
      <c r="C6" t="s">
        <v>326</v>
      </c>
      <c r="D6" t="str">
        <f>VLOOKUP(A6,Chris!A7:A83,1,0)</f>
        <v>10.52.134.51</v>
      </c>
    </row>
    <row r="7" spans="1:6" s="2" customFormat="1" x14ac:dyDescent="0.25">
      <c r="A7" s="2" t="s">
        <v>570</v>
      </c>
      <c r="B7" s="2" t="s">
        <v>545</v>
      </c>
      <c r="C7" s="2" t="s">
        <v>538</v>
      </c>
      <c r="D7" s="2" t="e">
        <f>VLOOKUP(A7,Chris!A8:A84,1,0)</f>
        <v>#N/A</v>
      </c>
      <c r="E7" s="16" t="s">
        <v>593</v>
      </c>
    </row>
    <row r="8" spans="1:6" s="3" customFormat="1" x14ac:dyDescent="0.25">
      <c r="A8" s="3" t="s">
        <v>571</v>
      </c>
      <c r="B8" s="3" t="s">
        <v>546</v>
      </c>
      <c r="C8" s="3" t="s">
        <v>538</v>
      </c>
      <c r="D8" s="3" t="e">
        <f>VLOOKUP(A8,Chris!A9:A85,1,0)</f>
        <v>#N/A</v>
      </c>
      <c r="E8" s="15" t="s">
        <v>594</v>
      </c>
      <c r="F8" s="3" t="s">
        <v>311</v>
      </c>
    </row>
    <row r="9" spans="1:6" s="3" customFormat="1" x14ac:dyDescent="0.25">
      <c r="A9" s="3" t="s">
        <v>572</v>
      </c>
      <c r="B9" s="3" t="s">
        <v>547</v>
      </c>
      <c r="C9" s="3" t="s">
        <v>538</v>
      </c>
      <c r="D9" s="3" t="e">
        <f>VLOOKUP(A9,Chris!A10:A86,1,0)</f>
        <v>#N/A</v>
      </c>
      <c r="E9" s="15" t="s">
        <v>594</v>
      </c>
      <c r="F9" s="3" t="s">
        <v>311</v>
      </c>
    </row>
    <row r="10" spans="1:6" hidden="1" x14ac:dyDescent="0.25">
      <c r="A10" t="s">
        <v>27</v>
      </c>
      <c r="B10" t="s">
        <v>126</v>
      </c>
      <c r="C10" t="s">
        <v>361</v>
      </c>
      <c r="D10" t="str">
        <f>VLOOKUP(A10,Chris!A11:A87,1,0)</f>
        <v>10.52.142.57</v>
      </c>
    </row>
    <row r="11" spans="1:6" hidden="1" x14ac:dyDescent="0.25">
      <c r="A11" t="s">
        <v>29</v>
      </c>
      <c r="B11" t="s">
        <v>134</v>
      </c>
      <c r="C11" t="s">
        <v>376</v>
      </c>
      <c r="D11" t="str">
        <f>VLOOKUP(A11,Chris!A12:A88,1,0)</f>
        <v>10.59.176.75</v>
      </c>
    </row>
    <row r="12" spans="1:6" hidden="1" x14ac:dyDescent="0.25">
      <c r="A12" t="s">
        <v>31</v>
      </c>
      <c r="B12" t="s">
        <v>144</v>
      </c>
      <c r="C12" t="s">
        <v>339</v>
      </c>
      <c r="D12" t="str">
        <f>VLOOKUP(A12,Chris!A13:A89,1,0)</f>
        <v>10.204.64.96</v>
      </c>
    </row>
    <row r="13" spans="1:6" hidden="1" x14ac:dyDescent="0.25">
      <c r="A13" t="s">
        <v>32</v>
      </c>
      <c r="B13" t="s">
        <v>148</v>
      </c>
      <c r="C13" t="s">
        <v>339</v>
      </c>
      <c r="D13" t="str">
        <f>VLOOKUP(A13,Chris!A14:A90,1,0)</f>
        <v>10.204.64.97</v>
      </c>
    </row>
    <row r="14" spans="1:6" x14ac:dyDescent="0.25">
      <c r="A14" t="s">
        <v>506</v>
      </c>
      <c r="B14" t="s">
        <v>523</v>
      </c>
      <c r="C14" t="s">
        <v>493</v>
      </c>
      <c r="D14" t="e">
        <f>VLOOKUP(A14,Chris!A15:A91,1,0)</f>
        <v>#N/A</v>
      </c>
    </row>
    <row r="15" spans="1:6" s="3" customFormat="1" x14ac:dyDescent="0.25">
      <c r="A15" s="3" t="s">
        <v>573</v>
      </c>
      <c r="B15" s="3" t="s">
        <v>548</v>
      </c>
      <c r="C15" s="3" t="s">
        <v>536</v>
      </c>
      <c r="D15" s="3" t="e">
        <f>VLOOKUP(A15,Chris!A16:A92,1,0)</f>
        <v>#N/A</v>
      </c>
      <c r="E15" s="3" t="s">
        <v>85</v>
      </c>
      <c r="F15" s="3" t="s">
        <v>311</v>
      </c>
    </row>
    <row r="16" spans="1:6" s="3" customFormat="1" x14ac:dyDescent="0.25">
      <c r="A16" s="3" t="s">
        <v>477</v>
      </c>
      <c r="B16" s="3" t="s">
        <v>524</v>
      </c>
      <c r="C16" s="3" t="s">
        <v>452</v>
      </c>
      <c r="D16" s="3" t="e">
        <f>VLOOKUP(A16,Chris!A17:A93,1,0)</f>
        <v>#N/A</v>
      </c>
      <c r="E16" s="3" t="s">
        <v>598</v>
      </c>
      <c r="F16" s="3" t="s">
        <v>311</v>
      </c>
    </row>
    <row r="17" spans="1:6" s="2" customFormat="1" x14ac:dyDescent="0.25">
      <c r="A17" s="2" t="s">
        <v>507</v>
      </c>
      <c r="B17" s="2" t="s">
        <v>525</v>
      </c>
      <c r="C17" s="2" t="s">
        <v>496</v>
      </c>
      <c r="D17" s="2" t="e">
        <f>VLOOKUP(A17,Chris!A18:A94,1,0)</f>
        <v>#N/A</v>
      </c>
      <c r="E17" s="2" t="s">
        <v>595</v>
      </c>
    </row>
    <row r="18" spans="1:6" s="3" customFormat="1" x14ac:dyDescent="0.25">
      <c r="A18" s="3" t="s">
        <v>574</v>
      </c>
      <c r="B18" s="3" t="s">
        <v>549</v>
      </c>
      <c r="C18" s="3" t="s">
        <v>539</v>
      </c>
      <c r="D18" s="3" t="e">
        <f>VLOOKUP(A18,Chris!A19:A95,1,0)</f>
        <v>#N/A</v>
      </c>
      <c r="E18" s="3" t="s">
        <v>85</v>
      </c>
      <c r="F18" s="3" t="s">
        <v>311</v>
      </c>
    </row>
    <row r="19" spans="1:6" s="3" customFormat="1" x14ac:dyDescent="0.25">
      <c r="A19" s="3" t="s">
        <v>575</v>
      </c>
      <c r="B19" s="3" t="s">
        <v>550</v>
      </c>
      <c r="C19" s="3" t="s">
        <v>539</v>
      </c>
      <c r="D19" s="3" t="e">
        <f>VLOOKUP(A19,Chris!A20:A96,1,0)</f>
        <v>#N/A</v>
      </c>
      <c r="E19" s="3" t="s">
        <v>85</v>
      </c>
      <c r="F19" s="3" t="s">
        <v>311</v>
      </c>
    </row>
    <row r="20" spans="1:6" s="3" customFormat="1" x14ac:dyDescent="0.25">
      <c r="A20" s="3" t="s">
        <v>576</v>
      </c>
      <c r="B20" s="3" t="s">
        <v>551</v>
      </c>
      <c r="C20" s="3" t="s">
        <v>539</v>
      </c>
      <c r="D20" s="3" t="e">
        <f>VLOOKUP(A20,Chris!A21:A97,1,0)</f>
        <v>#N/A</v>
      </c>
      <c r="E20" s="3" t="s">
        <v>594</v>
      </c>
      <c r="F20" s="3" t="s">
        <v>311</v>
      </c>
    </row>
    <row r="21" spans="1:6" hidden="1" x14ac:dyDescent="0.25">
      <c r="A21" t="s">
        <v>39</v>
      </c>
      <c r="B21" t="s">
        <v>176</v>
      </c>
      <c r="C21" t="s">
        <v>341</v>
      </c>
      <c r="D21" t="str">
        <f>VLOOKUP(A21,Chris!A22:A98,1,0)</f>
        <v>10.215.31.40</v>
      </c>
    </row>
    <row r="22" spans="1:6" s="3" customFormat="1" x14ac:dyDescent="0.25">
      <c r="A22" s="3" t="s">
        <v>508</v>
      </c>
      <c r="B22" s="3" t="s">
        <v>527</v>
      </c>
      <c r="C22" s="3" t="s">
        <v>491</v>
      </c>
      <c r="D22" s="3" t="e">
        <f>VLOOKUP(A22,Chris!A23:A99,1,0)</f>
        <v>#N/A</v>
      </c>
      <c r="E22" s="3" t="s">
        <v>85</v>
      </c>
      <c r="F22" s="3" t="s">
        <v>311</v>
      </c>
    </row>
    <row r="23" spans="1:6" s="3" customFormat="1" x14ac:dyDescent="0.25">
      <c r="A23" s="3" t="s">
        <v>577</v>
      </c>
      <c r="B23" s="3" t="s">
        <v>552</v>
      </c>
      <c r="C23" s="3" t="s">
        <v>539</v>
      </c>
      <c r="D23" s="3" t="e">
        <f>VLOOKUP(A23,Chris!A24:A100,1,0)</f>
        <v>#N/A</v>
      </c>
      <c r="E23" s="3" t="s">
        <v>85</v>
      </c>
      <c r="F23" s="3" t="s">
        <v>311</v>
      </c>
    </row>
    <row r="24" spans="1:6" s="3" customFormat="1" x14ac:dyDescent="0.25">
      <c r="A24" s="3" t="s">
        <v>578</v>
      </c>
      <c r="B24" s="3" t="s">
        <v>553</v>
      </c>
      <c r="C24" s="3" t="s">
        <v>540</v>
      </c>
      <c r="D24" s="3" t="e">
        <f>VLOOKUP(A24,Chris!A25:A101,1,0)</f>
        <v>#N/A</v>
      </c>
      <c r="E24" s="3" t="s">
        <v>597</v>
      </c>
      <c r="F24" s="3" t="s">
        <v>311</v>
      </c>
    </row>
    <row r="25" spans="1:6" s="3" customFormat="1" x14ac:dyDescent="0.25">
      <c r="A25" s="3" t="s">
        <v>579</v>
      </c>
      <c r="B25" s="3" t="s">
        <v>554</v>
      </c>
      <c r="C25" s="3" t="s">
        <v>539</v>
      </c>
      <c r="D25" s="3" t="e">
        <f>VLOOKUP(A25,Chris!A26:A102,1,0)</f>
        <v>#N/A</v>
      </c>
      <c r="F25" s="3" t="s">
        <v>311</v>
      </c>
    </row>
    <row r="26" spans="1:6" s="3" customFormat="1" x14ac:dyDescent="0.25">
      <c r="A26" s="3" t="s">
        <v>44</v>
      </c>
      <c r="B26" s="3" t="s">
        <v>324</v>
      </c>
      <c r="C26" s="3" t="s">
        <v>380</v>
      </c>
      <c r="D26" s="3" t="e">
        <f>VLOOKUP(A26,Chris!A27:A103,1,0)</f>
        <v>#N/A</v>
      </c>
      <c r="F26" s="3" t="s">
        <v>311</v>
      </c>
    </row>
    <row r="27" spans="1:6" s="2" customFormat="1" x14ac:dyDescent="0.25">
      <c r="A27" s="2" t="s">
        <v>509</v>
      </c>
      <c r="B27" s="2" t="s">
        <v>528</v>
      </c>
      <c r="C27" s="2" t="s">
        <v>497</v>
      </c>
      <c r="D27" s="2" t="e">
        <f>VLOOKUP(A27,Chris!A28:A104,1,0)</f>
        <v>#N/A</v>
      </c>
    </row>
    <row r="28" spans="1:6" s="2" customFormat="1" x14ac:dyDescent="0.25">
      <c r="A28" s="2" t="s">
        <v>510</v>
      </c>
      <c r="B28" s="2" t="s">
        <v>529</v>
      </c>
      <c r="C28" s="2" t="s">
        <v>497</v>
      </c>
      <c r="D28" s="2" t="e">
        <f>VLOOKUP(A28,Chris!A29:A105,1,0)</f>
        <v>#N/A</v>
      </c>
    </row>
    <row r="29" spans="1:6" s="3" customFormat="1" x14ac:dyDescent="0.25">
      <c r="A29" s="3" t="s">
        <v>580</v>
      </c>
      <c r="B29" s="3" t="s">
        <v>555</v>
      </c>
      <c r="C29" s="3" t="s">
        <v>539</v>
      </c>
      <c r="D29" s="3" t="e">
        <f>VLOOKUP(A29,Chris!A30:A106,1,0)</f>
        <v>#N/A</v>
      </c>
      <c r="E29" s="3" t="s">
        <v>85</v>
      </c>
      <c r="F29" s="3" t="s">
        <v>311</v>
      </c>
    </row>
    <row r="30" spans="1:6" s="3" customFormat="1" x14ac:dyDescent="0.25">
      <c r="A30" s="3" t="s">
        <v>581</v>
      </c>
      <c r="B30" s="3" t="s">
        <v>556</v>
      </c>
      <c r="C30" s="3" t="s">
        <v>539</v>
      </c>
      <c r="D30" s="3" t="e">
        <f>VLOOKUP(A30,Chris!A31:A107,1,0)</f>
        <v>#N/A</v>
      </c>
      <c r="E30" s="3" t="s">
        <v>85</v>
      </c>
      <c r="F30" s="3" t="s">
        <v>311</v>
      </c>
    </row>
    <row r="31" spans="1:6" s="2" customFormat="1" x14ac:dyDescent="0.25">
      <c r="A31" s="2" t="s">
        <v>582</v>
      </c>
      <c r="B31" s="2" t="s">
        <v>557</v>
      </c>
      <c r="C31" s="2" t="s">
        <v>539</v>
      </c>
      <c r="D31" s="2" t="e">
        <f>VLOOKUP(A31,Chris!A32:A108,1,0)</f>
        <v>#N/A</v>
      </c>
    </row>
    <row r="32" spans="1:6" s="3" customFormat="1" x14ac:dyDescent="0.25">
      <c r="A32" s="3" t="s">
        <v>583</v>
      </c>
      <c r="B32" s="3" t="s">
        <v>558</v>
      </c>
      <c r="C32" s="3" t="s">
        <v>539</v>
      </c>
      <c r="D32" s="3" t="e">
        <f>VLOOKUP(A32,Chris!A33:A109,1,0)</f>
        <v>#N/A</v>
      </c>
      <c r="E32" s="3" t="s">
        <v>85</v>
      </c>
      <c r="F32" s="3" t="s">
        <v>311</v>
      </c>
    </row>
    <row r="33" spans="1:6" s="3" customFormat="1" x14ac:dyDescent="0.25">
      <c r="A33" s="3" t="s">
        <v>584</v>
      </c>
      <c r="B33" s="3" t="s">
        <v>559</v>
      </c>
      <c r="C33" s="3" t="s">
        <v>539</v>
      </c>
      <c r="D33" s="3" t="e">
        <f>VLOOKUP(A33,Chris!A34:A110,1,0)</f>
        <v>#N/A</v>
      </c>
      <c r="E33" s="3" t="s">
        <v>85</v>
      </c>
      <c r="F33" s="3" t="s">
        <v>311</v>
      </c>
    </row>
    <row r="34" spans="1:6" s="3" customFormat="1" x14ac:dyDescent="0.25">
      <c r="A34" s="3" t="s">
        <v>585</v>
      </c>
      <c r="B34" s="3" t="s">
        <v>560</v>
      </c>
      <c r="C34" s="3" t="s">
        <v>539</v>
      </c>
      <c r="D34" s="3" t="e">
        <f>VLOOKUP(A34,Chris!A35:A111,1,0)</f>
        <v>#N/A</v>
      </c>
      <c r="E34" s="3" t="s">
        <v>85</v>
      </c>
      <c r="F34" s="3" t="s">
        <v>311</v>
      </c>
    </row>
    <row r="35" spans="1:6" s="3" customFormat="1" x14ac:dyDescent="0.25">
      <c r="A35" s="3" t="s">
        <v>586</v>
      </c>
      <c r="B35" s="3" t="s">
        <v>551</v>
      </c>
      <c r="C35" s="3" t="s">
        <v>539</v>
      </c>
      <c r="D35" s="3" t="e">
        <f>VLOOKUP(A35,Chris!A36:A112,1,0)</f>
        <v>#N/A</v>
      </c>
      <c r="E35" s="3" t="s">
        <v>594</v>
      </c>
      <c r="F35" s="3" t="s">
        <v>311</v>
      </c>
    </row>
    <row r="36" spans="1:6" s="3" customFormat="1" x14ac:dyDescent="0.25">
      <c r="A36" s="3" t="s">
        <v>587</v>
      </c>
      <c r="B36" s="3" t="s">
        <v>561</v>
      </c>
      <c r="C36" s="3" t="s">
        <v>541</v>
      </c>
      <c r="D36" s="3" t="e">
        <f>VLOOKUP(A36,Chris!A37:A113,1,0)</f>
        <v>#N/A</v>
      </c>
      <c r="F36" s="3" t="s">
        <v>311</v>
      </c>
    </row>
    <row r="37" spans="1:6" s="3" customFormat="1" x14ac:dyDescent="0.25">
      <c r="A37" s="3" t="s">
        <v>588</v>
      </c>
      <c r="B37" s="3" t="s">
        <v>562</v>
      </c>
      <c r="C37" s="3" t="s">
        <v>541</v>
      </c>
      <c r="D37" s="3" t="e">
        <f>VLOOKUP(A37,Chris!A38:A114,1,0)</f>
        <v>#N/A</v>
      </c>
      <c r="E37" s="3" t="s">
        <v>596</v>
      </c>
      <c r="F37" s="3" t="s">
        <v>311</v>
      </c>
    </row>
    <row r="38" spans="1:6" hidden="1" x14ac:dyDescent="0.25">
      <c r="A38" t="s">
        <v>54</v>
      </c>
      <c r="B38" t="s">
        <v>240</v>
      </c>
      <c r="C38" t="s">
        <v>327</v>
      </c>
      <c r="D38" t="str">
        <f>VLOOKUP(A38,Chris!A39:A115,1,0)</f>
        <v>163.231.83.217</v>
      </c>
    </row>
    <row r="39" spans="1:6" hidden="1" x14ac:dyDescent="0.25">
      <c r="A39" t="s">
        <v>413</v>
      </c>
      <c r="B39" t="s">
        <v>414</v>
      </c>
      <c r="C39" t="s">
        <v>403</v>
      </c>
      <c r="D39" t="str">
        <f>VLOOKUP(A39,Chris!A40:A116,1,0)</f>
        <v>163.231.94.89</v>
      </c>
    </row>
    <row r="40" spans="1:6" hidden="1" x14ac:dyDescent="0.25">
      <c r="A40" t="s">
        <v>55</v>
      </c>
      <c r="B40" t="s">
        <v>242</v>
      </c>
      <c r="C40" t="s">
        <v>373</v>
      </c>
      <c r="D40" t="str">
        <f>VLOOKUP(A40,Chris!A41:A117,1,0)</f>
        <v>163.231.99.40</v>
      </c>
    </row>
    <row r="41" spans="1:6" hidden="1" x14ac:dyDescent="0.25">
      <c r="A41" t="s">
        <v>2</v>
      </c>
      <c r="B41" t="s">
        <v>245</v>
      </c>
      <c r="C41" t="s">
        <v>374</v>
      </c>
      <c r="D41" t="str">
        <f>VLOOKUP(A41,Chris!A42:A118,1,0)</f>
        <v>10.51.0.21</v>
      </c>
    </row>
    <row r="42" spans="1:6" s="3" customFormat="1" x14ac:dyDescent="0.25">
      <c r="A42" s="3" t="s">
        <v>17</v>
      </c>
      <c r="B42" s="3" t="s">
        <v>285</v>
      </c>
      <c r="C42" s="3" t="s">
        <v>374</v>
      </c>
      <c r="D42" s="3" t="e">
        <f>VLOOKUP(A42,Chris!A43:A119,1,0)</f>
        <v>#N/A</v>
      </c>
      <c r="E42" s="3" t="s">
        <v>590</v>
      </c>
      <c r="F42" s="3" t="s">
        <v>591</v>
      </c>
    </row>
    <row r="43" spans="1:6" s="3" customFormat="1" x14ac:dyDescent="0.25">
      <c r="A43" s="3" t="s">
        <v>434</v>
      </c>
      <c r="B43" s="3" t="s">
        <v>563</v>
      </c>
      <c r="C43" s="3" t="s">
        <v>424</v>
      </c>
      <c r="D43" s="3" t="e">
        <f>VLOOKUP(A43,Chris!A44:A120,1,0)</f>
        <v>#N/A</v>
      </c>
      <c r="F43" s="3" t="s">
        <v>311</v>
      </c>
    </row>
    <row r="44" spans="1:6" s="3" customFormat="1" x14ac:dyDescent="0.25">
      <c r="A44" s="3" t="s">
        <v>435</v>
      </c>
      <c r="B44" s="3" t="s">
        <v>564</v>
      </c>
      <c r="C44" s="3" t="s">
        <v>424</v>
      </c>
      <c r="D44" s="3" t="e">
        <f>VLOOKUP(A44,Chris!A45:A121,1,0)</f>
        <v>#N/A</v>
      </c>
      <c r="F44" s="3" t="s">
        <v>311</v>
      </c>
    </row>
    <row r="45" spans="1:6" s="3" customFormat="1" x14ac:dyDescent="0.25">
      <c r="A45" s="3" t="s">
        <v>436</v>
      </c>
      <c r="B45" s="3" t="s">
        <v>426</v>
      </c>
      <c r="C45" s="3" t="s">
        <v>424</v>
      </c>
      <c r="D45" s="3" t="e">
        <f>VLOOKUP(A45,Chris!A46:A122,1,0)</f>
        <v>#N/A</v>
      </c>
      <c r="F45" s="3" t="s">
        <v>311</v>
      </c>
    </row>
    <row r="46" spans="1:6" s="3" customFormat="1" x14ac:dyDescent="0.25">
      <c r="A46" s="3" t="s">
        <v>437</v>
      </c>
      <c r="B46" s="3" t="s">
        <v>565</v>
      </c>
      <c r="C46" s="3" t="s">
        <v>424</v>
      </c>
      <c r="D46" s="3" t="e">
        <f>VLOOKUP(A46,Chris!A47:A123,1,0)</f>
        <v>#N/A</v>
      </c>
      <c r="F46" s="3" t="s">
        <v>311</v>
      </c>
    </row>
    <row r="47" spans="1:6" s="3" customFormat="1" x14ac:dyDescent="0.25">
      <c r="A47" s="3" t="s">
        <v>500</v>
      </c>
      <c r="B47" s="3" t="s">
        <v>515</v>
      </c>
      <c r="C47" s="3" t="s">
        <v>492</v>
      </c>
      <c r="D47" s="3" t="e">
        <f>VLOOKUP(A47,Chris!A48:A124,1,0)</f>
        <v>#N/A</v>
      </c>
    </row>
    <row r="48" spans="1:6" x14ac:dyDescent="0.25">
      <c r="A48" t="s">
        <v>589</v>
      </c>
      <c r="B48" t="s">
        <v>566</v>
      </c>
      <c r="C48" t="s">
        <v>539</v>
      </c>
      <c r="D48" t="str">
        <f>VLOOKUP(A48,Chris!A49:A125,1,0)</f>
        <v>10.221.241.206</v>
      </c>
    </row>
    <row r="49" spans="1:4" hidden="1" x14ac:dyDescent="0.25">
      <c r="A49" t="s">
        <v>22</v>
      </c>
      <c r="B49" t="s">
        <v>302</v>
      </c>
      <c r="C49" t="s">
        <v>333</v>
      </c>
      <c r="D49" t="str">
        <f>VLOOKUP(A49,Chris!A50:A126,1,0)</f>
        <v>192.168.250.131</v>
      </c>
    </row>
  </sheetData>
  <autoFilter ref="A1:F49">
    <filterColumn colId="3">
      <filters>
        <filter val="#N/A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1" topLeftCell="A2" activePane="bottomLeft" state="frozen"/>
      <selection pane="bottomLeft" activeCell="C60" sqref="C60"/>
    </sheetView>
  </sheetViews>
  <sheetFormatPr defaultRowHeight="15" x14ac:dyDescent="0.25"/>
  <cols>
    <col min="1" max="1" width="22.140625" bestFit="1" customWidth="1"/>
    <col min="2" max="2" width="33" bestFit="1" customWidth="1"/>
    <col min="3" max="3" width="79.85546875" bestFit="1" customWidth="1"/>
    <col min="4" max="4" width="12.42578125" bestFit="1" customWidth="1"/>
    <col min="5" max="5" width="30.140625" bestFit="1" customWidth="1"/>
    <col min="6" max="6" width="28.28515625" bestFit="1" customWidth="1"/>
  </cols>
  <sheetData>
    <row r="1" spans="1:6" x14ac:dyDescent="0.25">
      <c r="A1" s="5" t="s">
        <v>331</v>
      </c>
      <c r="B1" s="5" t="s">
        <v>56</v>
      </c>
      <c r="C1" s="5" t="s">
        <v>332</v>
      </c>
      <c r="D1" s="5" t="s">
        <v>325</v>
      </c>
      <c r="E1" s="5" t="s">
        <v>60</v>
      </c>
      <c r="F1" s="5" t="s">
        <v>396</v>
      </c>
    </row>
    <row r="2" spans="1:6" s="21" customFormat="1" x14ac:dyDescent="0.25">
      <c r="A2" s="3" t="s">
        <v>568</v>
      </c>
      <c r="B2" s="3" t="s">
        <v>543</v>
      </c>
      <c r="C2" s="3" t="s">
        <v>536</v>
      </c>
      <c r="D2" s="3"/>
      <c r="E2" s="3"/>
      <c r="F2" s="3"/>
    </row>
    <row r="3" spans="1:6" s="21" customFormat="1" x14ac:dyDescent="0.25">
      <c r="A3" s="3" t="s">
        <v>606</v>
      </c>
      <c r="B3" s="3" t="s">
        <v>607</v>
      </c>
      <c r="C3" s="3" t="s">
        <v>600</v>
      </c>
      <c r="D3" s="3"/>
      <c r="E3" s="3"/>
      <c r="F3" s="3"/>
    </row>
    <row r="4" spans="1:6" s="21" customFormat="1" x14ac:dyDescent="0.25">
      <c r="A4" s="3" t="s">
        <v>608</v>
      </c>
      <c r="B4" s="3" t="s">
        <v>609</v>
      </c>
      <c r="C4" s="3" t="s">
        <v>601</v>
      </c>
      <c r="D4" s="3"/>
      <c r="E4" s="3"/>
      <c r="F4" s="3"/>
    </row>
    <row r="5" spans="1:6" s="21" customFormat="1" x14ac:dyDescent="0.25">
      <c r="A5" s="3" t="s">
        <v>610</v>
      </c>
      <c r="B5" s="3" t="s">
        <v>611</v>
      </c>
      <c r="C5" s="3" t="s">
        <v>602</v>
      </c>
      <c r="D5" s="3"/>
      <c r="E5" s="3"/>
      <c r="F5" s="3"/>
    </row>
    <row r="6" spans="1:6" s="21" customFormat="1" x14ac:dyDescent="0.25">
      <c r="A6" s="3" t="s">
        <v>612</v>
      </c>
      <c r="B6" s="3" t="s">
        <v>613</v>
      </c>
      <c r="C6" s="3" t="s">
        <v>602</v>
      </c>
      <c r="D6" s="3"/>
      <c r="E6" s="3"/>
      <c r="F6" s="3"/>
    </row>
    <row r="7" spans="1:6" s="21" customFormat="1" x14ac:dyDescent="0.25">
      <c r="A7" s="3" t="s">
        <v>614</v>
      </c>
      <c r="B7" s="3" t="s">
        <v>615</v>
      </c>
      <c r="C7" s="3" t="s">
        <v>602</v>
      </c>
      <c r="D7" s="3"/>
      <c r="E7" s="3"/>
      <c r="F7" s="3"/>
    </row>
    <row r="8" spans="1:6" s="21" customFormat="1" x14ac:dyDescent="0.25">
      <c r="A8" s="3" t="s">
        <v>616</v>
      </c>
      <c r="B8" s="3" t="s">
        <v>617</v>
      </c>
      <c r="C8" s="3" t="s">
        <v>602</v>
      </c>
      <c r="D8" s="3"/>
      <c r="E8" s="3"/>
      <c r="F8" s="3"/>
    </row>
    <row r="9" spans="1:6" s="21" customFormat="1" x14ac:dyDescent="0.25">
      <c r="A9" s="3" t="s">
        <v>618</v>
      </c>
      <c r="B9" s="3" t="s">
        <v>619</v>
      </c>
      <c r="C9" s="3" t="s">
        <v>602</v>
      </c>
      <c r="D9" s="3"/>
      <c r="E9" s="3"/>
      <c r="F9" s="3"/>
    </row>
    <row r="10" spans="1:6" s="21" customFormat="1" x14ac:dyDescent="0.25">
      <c r="A10" s="3" t="s">
        <v>620</v>
      </c>
      <c r="B10" s="3" t="s">
        <v>621</v>
      </c>
      <c r="C10" s="3" t="s">
        <v>602</v>
      </c>
      <c r="D10" s="3"/>
      <c r="E10" s="3"/>
      <c r="F10" s="3"/>
    </row>
    <row r="11" spans="1:6" s="3" customFormat="1" x14ac:dyDescent="0.25">
      <c r="A11" s="3" t="s">
        <v>622</v>
      </c>
      <c r="B11" s="3" t="s">
        <v>623</v>
      </c>
      <c r="C11" s="3" t="s">
        <v>602</v>
      </c>
    </row>
    <row r="12" spans="1:6" s="3" customFormat="1" x14ac:dyDescent="0.25">
      <c r="A12" s="3" t="s">
        <v>624</v>
      </c>
      <c r="B12" s="3" t="s">
        <v>625</v>
      </c>
      <c r="C12" s="3" t="s">
        <v>601</v>
      </c>
    </row>
    <row r="13" spans="1:6" s="3" customFormat="1" x14ac:dyDescent="0.25">
      <c r="A13" s="3" t="s">
        <v>569</v>
      </c>
      <c r="B13" s="3" t="s">
        <v>544</v>
      </c>
      <c r="C13" s="3" t="s">
        <v>537</v>
      </c>
    </row>
    <row r="14" spans="1:6" s="3" customFormat="1" x14ac:dyDescent="0.25">
      <c r="A14" s="3" t="s">
        <v>25</v>
      </c>
      <c r="B14" s="3" t="s">
        <v>118</v>
      </c>
      <c r="C14" s="3" t="s">
        <v>326</v>
      </c>
    </row>
    <row r="15" spans="1:6" s="3" customFormat="1" x14ac:dyDescent="0.25">
      <c r="A15" s="3" t="s">
        <v>26</v>
      </c>
      <c r="B15" s="3" t="s">
        <v>123</v>
      </c>
      <c r="C15" s="3" t="s">
        <v>326</v>
      </c>
    </row>
    <row r="16" spans="1:6" s="3" customFormat="1" x14ac:dyDescent="0.25">
      <c r="A16" s="3" t="s">
        <v>570</v>
      </c>
      <c r="B16" s="3" t="s">
        <v>545</v>
      </c>
      <c r="C16" s="3" t="s">
        <v>538</v>
      </c>
    </row>
    <row r="17" spans="1:6" s="3" customFormat="1" x14ac:dyDescent="0.25">
      <c r="A17" s="3" t="s">
        <v>626</v>
      </c>
      <c r="B17" s="3" t="s">
        <v>627</v>
      </c>
      <c r="C17" s="3" t="s">
        <v>601</v>
      </c>
    </row>
    <row r="18" spans="1:6" s="3" customFormat="1" x14ac:dyDescent="0.25">
      <c r="A18" s="3" t="s">
        <v>628</v>
      </c>
      <c r="B18" s="3" t="s">
        <v>629</v>
      </c>
      <c r="C18" s="3" t="s">
        <v>601</v>
      </c>
    </row>
    <row r="19" spans="1:6" s="3" customFormat="1" x14ac:dyDescent="0.25">
      <c r="A19" s="3" t="s">
        <v>630</v>
      </c>
      <c r="B19" s="3" t="s">
        <v>631</v>
      </c>
      <c r="C19" s="3" t="s">
        <v>601</v>
      </c>
    </row>
    <row r="20" spans="1:6" s="3" customFormat="1" x14ac:dyDescent="0.25">
      <c r="A20" s="3" t="s">
        <v>632</v>
      </c>
      <c r="B20" s="3" t="s">
        <v>633</v>
      </c>
      <c r="C20" s="3" t="s">
        <v>601</v>
      </c>
    </row>
    <row r="21" spans="1:6" s="3" customFormat="1" x14ac:dyDescent="0.25">
      <c r="A21" s="3" t="s">
        <v>634</v>
      </c>
      <c r="B21" s="3" t="s">
        <v>635</v>
      </c>
      <c r="C21" s="3" t="s">
        <v>601</v>
      </c>
    </row>
    <row r="22" spans="1:6" s="3" customFormat="1" x14ac:dyDescent="0.25">
      <c r="A22" s="3" t="s">
        <v>636</v>
      </c>
      <c r="B22" s="3" t="s">
        <v>637</v>
      </c>
      <c r="C22" s="3" t="s">
        <v>601</v>
      </c>
    </row>
    <row r="23" spans="1:6" s="3" customFormat="1" x14ac:dyDescent="0.25">
      <c r="A23" s="3" t="s">
        <v>638</v>
      </c>
      <c r="B23" s="3" t="s">
        <v>639</v>
      </c>
      <c r="C23" s="3" t="s">
        <v>601</v>
      </c>
    </row>
    <row r="24" spans="1:6" s="3" customFormat="1" x14ac:dyDescent="0.25">
      <c r="A24" s="3" t="s">
        <v>640</v>
      </c>
      <c r="B24" s="3" t="s">
        <v>641</v>
      </c>
      <c r="C24" s="3" t="s">
        <v>600</v>
      </c>
    </row>
    <row r="25" spans="1:6" s="3" customFormat="1" x14ac:dyDescent="0.25">
      <c r="A25" s="3" t="s">
        <v>642</v>
      </c>
      <c r="B25" s="3" t="s">
        <v>643</v>
      </c>
      <c r="C25" s="3" t="s">
        <v>601</v>
      </c>
    </row>
    <row r="26" spans="1:6" s="3" customFormat="1" x14ac:dyDescent="0.25">
      <c r="A26" s="3" t="s">
        <v>644</v>
      </c>
      <c r="B26" s="3" t="s">
        <v>645</v>
      </c>
      <c r="C26" s="3" t="s">
        <v>601</v>
      </c>
    </row>
    <row r="27" spans="1:6" s="3" customFormat="1" x14ac:dyDescent="0.25">
      <c r="A27" s="3" t="s">
        <v>646</v>
      </c>
      <c r="B27" s="3" t="s">
        <v>126</v>
      </c>
      <c r="C27" s="3" t="s">
        <v>601</v>
      </c>
      <c r="F27" s="3" t="s">
        <v>682</v>
      </c>
    </row>
    <row r="28" spans="1:6" s="3" customFormat="1" x14ac:dyDescent="0.25">
      <c r="A28" s="3" t="s">
        <v>27</v>
      </c>
      <c r="B28" s="3" t="s">
        <v>126</v>
      </c>
      <c r="C28" s="3" t="s">
        <v>361</v>
      </c>
      <c r="F28" s="3" t="s">
        <v>682</v>
      </c>
    </row>
    <row r="29" spans="1:6" s="3" customFormat="1" x14ac:dyDescent="0.25">
      <c r="A29" s="3" t="s">
        <v>29</v>
      </c>
      <c r="B29" s="3" t="s">
        <v>134</v>
      </c>
      <c r="C29" s="3" t="s">
        <v>376</v>
      </c>
      <c r="E29" s="3" t="s">
        <v>85</v>
      </c>
      <c r="F29" s="3" t="s">
        <v>311</v>
      </c>
    </row>
    <row r="30" spans="1:6" s="3" customFormat="1" x14ac:dyDescent="0.25">
      <c r="A30" s="3" t="s">
        <v>31</v>
      </c>
      <c r="B30" s="3" t="s">
        <v>144</v>
      </c>
      <c r="C30" s="3" t="s">
        <v>339</v>
      </c>
      <c r="E30" s="3" t="s">
        <v>680</v>
      </c>
      <c r="F30" s="3" t="s">
        <v>681</v>
      </c>
    </row>
    <row r="31" spans="1:6" s="3" customFormat="1" x14ac:dyDescent="0.25">
      <c r="A31" s="3" t="s">
        <v>32</v>
      </c>
      <c r="B31" s="3" t="s">
        <v>148</v>
      </c>
      <c r="C31" s="3" t="s">
        <v>339</v>
      </c>
      <c r="E31" s="3" t="s">
        <v>680</v>
      </c>
      <c r="F31" s="3" t="s">
        <v>681</v>
      </c>
    </row>
    <row r="32" spans="1:6" s="3" customFormat="1" x14ac:dyDescent="0.25">
      <c r="A32" s="3" t="s">
        <v>506</v>
      </c>
      <c r="B32" s="3" t="s">
        <v>523</v>
      </c>
      <c r="C32" s="3" t="s">
        <v>493</v>
      </c>
      <c r="E32" s="3" t="s">
        <v>85</v>
      </c>
      <c r="F32" s="3" t="s">
        <v>311</v>
      </c>
    </row>
    <row r="33" spans="1:6" s="3" customFormat="1" x14ac:dyDescent="0.25">
      <c r="A33" s="3" t="s">
        <v>649</v>
      </c>
      <c r="B33" s="3" t="s">
        <v>650</v>
      </c>
      <c r="C33" s="3" t="s">
        <v>604</v>
      </c>
      <c r="E33" s="3" t="s">
        <v>679</v>
      </c>
      <c r="F33" s="3" t="s">
        <v>311</v>
      </c>
    </row>
    <row r="34" spans="1:6" s="3" customFormat="1" x14ac:dyDescent="0.25">
      <c r="A34" s="3" t="s">
        <v>651</v>
      </c>
      <c r="B34" s="3" t="s">
        <v>652</v>
      </c>
      <c r="C34" s="3" t="s">
        <v>604</v>
      </c>
      <c r="E34" s="3" t="s">
        <v>85</v>
      </c>
      <c r="F34" s="3" t="s">
        <v>311</v>
      </c>
    </row>
    <row r="35" spans="1:6" s="3" customFormat="1" x14ac:dyDescent="0.25">
      <c r="A35" s="3" t="s">
        <v>39</v>
      </c>
      <c r="B35" s="3" t="s">
        <v>176</v>
      </c>
      <c r="C35" s="3" t="s">
        <v>341</v>
      </c>
      <c r="E35" s="3" t="s">
        <v>678</v>
      </c>
    </row>
    <row r="36" spans="1:6" s="3" customFormat="1" x14ac:dyDescent="0.25">
      <c r="A36" s="3" t="s">
        <v>653</v>
      </c>
      <c r="B36" s="3" t="s">
        <v>654</v>
      </c>
      <c r="C36" s="3" t="s">
        <v>605</v>
      </c>
      <c r="E36" s="3" t="s">
        <v>596</v>
      </c>
      <c r="F36" s="3" t="s">
        <v>311</v>
      </c>
    </row>
    <row r="37" spans="1:6" s="3" customFormat="1" x14ac:dyDescent="0.25">
      <c r="A37" s="3" t="s">
        <v>655</v>
      </c>
      <c r="B37" s="3" t="s">
        <v>656</v>
      </c>
      <c r="C37" s="3" t="s">
        <v>605</v>
      </c>
      <c r="E37" s="3" t="s">
        <v>596</v>
      </c>
      <c r="F37" s="3" t="s">
        <v>311</v>
      </c>
    </row>
    <row r="38" spans="1:6" s="3" customFormat="1" x14ac:dyDescent="0.25">
      <c r="A38" s="3" t="s">
        <v>657</v>
      </c>
      <c r="B38" s="3" t="s">
        <v>658</v>
      </c>
      <c r="C38" s="3" t="s">
        <v>605</v>
      </c>
      <c r="E38" s="3" t="s">
        <v>596</v>
      </c>
      <c r="F38" s="3" t="s">
        <v>311</v>
      </c>
    </row>
    <row r="39" spans="1:6" s="3" customFormat="1" x14ac:dyDescent="0.25">
      <c r="A39" s="3" t="s">
        <v>659</v>
      </c>
      <c r="B39" s="3" t="s">
        <v>654</v>
      </c>
      <c r="C39" s="3" t="s">
        <v>605</v>
      </c>
      <c r="E39" s="3" t="s">
        <v>594</v>
      </c>
      <c r="F39" s="3" t="s">
        <v>311</v>
      </c>
    </row>
    <row r="40" spans="1:6" s="3" customFormat="1" x14ac:dyDescent="0.25">
      <c r="A40" s="3" t="s">
        <v>660</v>
      </c>
      <c r="B40" s="3" t="s">
        <v>661</v>
      </c>
      <c r="C40" s="3" t="s">
        <v>604</v>
      </c>
      <c r="E40" s="3" t="s">
        <v>86</v>
      </c>
      <c r="F40" s="3" t="s">
        <v>311</v>
      </c>
    </row>
    <row r="41" spans="1:6" s="3" customFormat="1" x14ac:dyDescent="0.25">
      <c r="A41" s="3" t="s">
        <v>662</v>
      </c>
      <c r="B41" s="3" t="s">
        <v>663</v>
      </c>
      <c r="C41" s="3" t="s">
        <v>604</v>
      </c>
      <c r="E41" s="3" t="s">
        <v>85</v>
      </c>
      <c r="F41" s="3" t="s">
        <v>311</v>
      </c>
    </row>
    <row r="42" spans="1:6" s="3" customFormat="1" x14ac:dyDescent="0.25">
      <c r="A42" s="3" t="s">
        <v>664</v>
      </c>
      <c r="B42" s="3" t="s">
        <v>665</v>
      </c>
      <c r="C42" s="3" t="s">
        <v>600</v>
      </c>
      <c r="E42" s="3" t="s">
        <v>677</v>
      </c>
      <c r="F42" s="3" t="s">
        <v>311</v>
      </c>
    </row>
    <row r="43" spans="1:6" s="3" customFormat="1" x14ac:dyDescent="0.25">
      <c r="A43" s="3" t="s">
        <v>666</v>
      </c>
      <c r="B43" s="3" t="s">
        <v>667</v>
      </c>
      <c r="C43" s="3" t="s">
        <v>604</v>
      </c>
      <c r="E43" s="3" t="s">
        <v>594</v>
      </c>
      <c r="F43" s="3" t="s">
        <v>311</v>
      </c>
    </row>
    <row r="44" spans="1:6" s="3" customFormat="1" x14ac:dyDescent="0.25">
      <c r="A44" s="3" t="s">
        <v>582</v>
      </c>
      <c r="B44" s="3" t="s">
        <v>557</v>
      </c>
      <c r="C44" s="3" t="s">
        <v>539</v>
      </c>
      <c r="E44" s="3" t="s">
        <v>594</v>
      </c>
      <c r="F44" s="3" t="s">
        <v>311</v>
      </c>
    </row>
    <row r="45" spans="1:6" s="2" customFormat="1" x14ac:dyDescent="0.25">
      <c r="A45" s="3" t="s">
        <v>668</v>
      </c>
      <c r="B45" s="3" t="s">
        <v>650</v>
      </c>
      <c r="C45" s="3" t="s">
        <v>604</v>
      </c>
      <c r="D45" s="3"/>
      <c r="E45" s="3" t="s">
        <v>594</v>
      </c>
      <c r="F45" s="3" t="s">
        <v>311</v>
      </c>
    </row>
    <row r="46" spans="1:6" s="2" customFormat="1" x14ac:dyDescent="0.25">
      <c r="A46" s="3" t="s">
        <v>55</v>
      </c>
      <c r="B46" s="3" t="s">
        <v>242</v>
      </c>
      <c r="C46" s="3" t="s">
        <v>373</v>
      </c>
      <c r="D46" s="3"/>
      <c r="E46" s="3" t="s">
        <v>675</v>
      </c>
      <c r="F46" s="3" t="s">
        <v>676</v>
      </c>
    </row>
    <row r="47" spans="1:6" s="3" customFormat="1" x14ac:dyDescent="0.25">
      <c r="A47" s="3" t="s">
        <v>671</v>
      </c>
      <c r="B47" s="3" t="s">
        <v>672</v>
      </c>
      <c r="C47" s="3" t="s">
        <v>600</v>
      </c>
      <c r="E47" s="3" t="s">
        <v>85</v>
      </c>
      <c r="F47" s="3" t="s">
        <v>311</v>
      </c>
    </row>
    <row r="48" spans="1:6" s="3" customFormat="1" x14ac:dyDescent="0.25">
      <c r="A48" s="3" t="s">
        <v>589</v>
      </c>
      <c r="B48" s="3" t="s">
        <v>566</v>
      </c>
      <c r="C48" s="3" t="s">
        <v>539</v>
      </c>
      <c r="F48" s="3" t="s">
        <v>311</v>
      </c>
    </row>
    <row r="49" spans="1:6" s="3" customFormat="1" x14ac:dyDescent="0.25">
      <c r="A49" s="3" t="s">
        <v>673</v>
      </c>
      <c r="B49" s="3" t="s">
        <v>674</v>
      </c>
      <c r="C49" s="3" t="s">
        <v>601</v>
      </c>
      <c r="E49" s="3" t="s">
        <v>599</v>
      </c>
      <c r="F49" s="3" t="s">
        <v>311</v>
      </c>
    </row>
    <row r="50" spans="1:6" s="3" customFormat="1" x14ac:dyDescent="0.25">
      <c r="A50" s="3" t="s">
        <v>22</v>
      </c>
      <c r="B50" s="3" t="s">
        <v>302</v>
      </c>
      <c r="C50" s="3" t="s">
        <v>333</v>
      </c>
      <c r="F50" s="3" t="s">
        <v>311</v>
      </c>
    </row>
    <row r="51" spans="1:6" s="2" customFormat="1" x14ac:dyDescent="0.25">
      <c r="A51" s="2" t="s">
        <v>507</v>
      </c>
      <c r="B51" s="2" t="s">
        <v>525</v>
      </c>
      <c r="C51" s="2" t="s">
        <v>496</v>
      </c>
      <c r="E51" s="2" t="s">
        <v>678</v>
      </c>
      <c r="F51" s="2" t="s">
        <v>683</v>
      </c>
    </row>
    <row r="52" spans="1:6" s="2" customFormat="1" x14ac:dyDescent="0.25">
      <c r="A52" s="2" t="s">
        <v>647</v>
      </c>
      <c r="B52" s="2" t="s">
        <v>648</v>
      </c>
      <c r="C52" s="2" t="s">
        <v>603</v>
      </c>
      <c r="E52" s="2" t="s">
        <v>678</v>
      </c>
      <c r="F52" s="2" t="s">
        <v>683</v>
      </c>
    </row>
    <row r="53" spans="1:6" s="3" customFormat="1" x14ac:dyDescent="0.25">
      <c r="A53" s="2" t="s">
        <v>509</v>
      </c>
      <c r="B53" s="2" t="s">
        <v>528</v>
      </c>
      <c r="C53" s="2" t="s">
        <v>497</v>
      </c>
      <c r="D53" s="2"/>
      <c r="E53" s="2" t="s">
        <v>678</v>
      </c>
      <c r="F53" s="2" t="s">
        <v>683</v>
      </c>
    </row>
    <row r="54" spans="1:6" s="2" customFormat="1" x14ac:dyDescent="0.25">
      <c r="A54" s="2" t="s">
        <v>510</v>
      </c>
      <c r="B54" s="2" t="s">
        <v>529</v>
      </c>
      <c r="C54" s="2" t="s">
        <v>497</v>
      </c>
      <c r="E54" s="2" t="s">
        <v>678</v>
      </c>
      <c r="F54" s="2" t="s">
        <v>683</v>
      </c>
    </row>
    <row r="55" spans="1:6" s="2" customFormat="1" x14ac:dyDescent="0.25">
      <c r="A55" s="2" t="s">
        <v>54</v>
      </c>
      <c r="B55" s="2" t="s">
        <v>240</v>
      </c>
      <c r="C55" s="2" t="s">
        <v>327</v>
      </c>
      <c r="E55" s="2" t="s">
        <v>678</v>
      </c>
      <c r="F55" s="2" t="s">
        <v>683</v>
      </c>
    </row>
    <row r="56" spans="1:6" s="2" customFormat="1" x14ac:dyDescent="0.25">
      <c r="A56" s="2" t="s">
        <v>413</v>
      </c>
      <c r="B56" s="2" t="s">
        <v>414</v>
      </c>
      <c r="C56" s="2" t="s">
        <v>403</v>
      </c>
      <c r="E56" s="2" t="s">
        <v>678</v>
      </c>
      <c r="F56" s="2" t="s">
        <v>683</v>
      </c>
    </row>
    <row r="57" spans="1:6" s="3" customFormat="1" x14ac:dyDescent="0.25">
      <c r="A57" s="2" t="s">
        <v>669</v>
      </c>
      <c r="B57" s="2" t="s">
        <v>670</v>
      </c>
      <c r="C57" s="2" t="s">
        <v>604</v>
      </c>
      <c r="D57" s="2"/>
      <c r="E57" s="2" t="s">
        <v>684</v>
      </c>
      <c r="F57" s="2"/>
    </row>
    <row r="58" spans="1:6" s="3" customFormat="1" x14ac:dyDescent="0.25">
      <c r="A58" s="2" t="s">
        <v>2</v>
      </c>
      <c r="B58" s="2" t="s">
        <v>245</v>
      </c>
      <c r="C58" s="2" t="s">
        <v>374</v>
      </c>
      <c r="D58" s="2"/>
      <c r="E58" s="2" t="s">
        <v>678</v>
      </c>
      <c r="F58" s="2" t="s">
        <v>683</v>
      </c>
    </row>
    <row r="59" spans="1:6" s="3" customFormat="1" x14ac:dyDescent="0.25">
      <c r="A59" s="2" t="s">
        <v>17</v>
      </c>
      <c r="B59" s="2" t="s">
        <v>285</v>
      </c>
      <c r="C59" s="2" t="s">
        <v>374</v>
      </c>
      <c r="D59" s="2"/>
      <c r="E59" s="2" t="s">
        <v>678</v>
      </c>
      <c r="F59" s="2" t="s">
        <v>683</v>
      </c>
    </row>
    <row r="60" spans="1:6" s="2" customFormat="1" x14ac:dyDescent="0.25">
      <c r="A60" s="2" t="s">
        <v>477</v>
      </c>
      <c r="B60" s="2" t="s">
        <v>524</v>
      </c>
      <c r="C60" s="2" t="s">
        <v>452</v>
      </c>
    </row>
  </sheetData>
  <autoFilter ref="A1:F60">
    <sortState ref="A2:F60">
      <sortCondition sortBy="cellColor" ref="B1:B60" dxfId="3"/>
    </sortState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zoomScaleNormal="100" workbookViewId="0">
      <pane ySplit="1" topLeftCell="A74" activePane="bottomLeft" state="frozen"/>
      <selection pane="bottomLeft" activeCell="B93" sqref="B93"/>
    </sheetView>
  </sheetViews>
  <sheetFormatPr defaultRowHeight="15" x14ac:dyDescent="0.25"/>
  <cols>
    <col min="1" max="1" width="22.140625" bestFit="1" customWidth="1"/>
    <col min="2" max="2" width="33" bestFit="1" customWidth="1"/>
    <col min="3" max="3" width="48.85546875" customWidth="1"/>
    <col min="4" max="4" width="32.5703125" bestFit="1" customWidth="1"/>
    <col min="5" max="5" width="28.140625" bestFit="1" customWidth="1"/>
    <col min="6" max="6" width="27" bestFit="1" customWidth="1"/>
  </cols>
  <sheetData>
    <row r="1" spans="1:6" x14ac:dyDescent="0.25">
      <c r="A1" s="5" t="s">
        <v>331</v>
      </c>
      <c r="B1" s="5" t="s">
        <v>56</v>
      </c>
      <c r="C1" s="5" t="s">
        <v>332</v>
      </c>
      <c r="D1" s="5" t="s">
        <v>325</v>
      </c>
      <c r="E1" s="5" t="s">
        <v>60</v>
      </c>
      <c r="F1" s="5" t="s">
        <v>396</v>
      </c>
    </row>
    <row r="2" spans="1:6" s="3" customFormat="1" x14ac:dyDescent="0.25">
      <c r="A2" s="3" t="s">
        <v>690</v>
      </c>
      <c r="B2" s="3" t="s">
        <v>772</v>
      </c>
      <c r="C2" s="3" t="s">
        <v>685</v>
      </c>
      <c r="D2" s="3" t="e">
        <f>VLOOKUP(B2,'Zipper 7-23'!B:B,1,0)</f>
        <v>#N/A</v>
      </c>
      <c r="E2" s="3" t="s">
        <v>833</v>
      </c>
      <c r="F2" s="3" t="s">
        <v>311</v>
      </c>
    </row>
    <row r="3" spans="1:6" s="3" customFormat="1" x14ac:dyDescent="0.25">
      <c r="A3" s="3" t="s">
        <v>691</v>
      </c>
      <c r="B3" s="3" t="s">
        <v>773</v>
      </c>
      <c r="C3" s="3" t="s">
        <v>686</v>
      </c>
      <c r="D3" s="3" t="e">
        <f>VLOOKUP(B3,'Zipper 7-23'!B:B,1,0)</f>
        <v>#N/A</v>
      </c>
      <c r="E3" s="3" t="s">
        <v>833</v>
      </c>
      <c r="F3" s="3" t="s">
        <v>311</v>
      </c>
    </row>
    <row r="4" spans="1:6" s="3" customFormat="1" x14ac:dyDescent="0.25">
      <c r="A4" s="3" t="s">
        <v>692</v>
      </c>
      <c r="B4" s="3" t="s">
        <v>774</v>
      </c>
      <c r="C4" s="3" t="s">
        <v>686</v>
      </c>
      <c r="D4" s="3" t="e">
        <f>VLOOKUP(B4,'Zipper 7-23'!B:B,1,0)</f>
        <v>#N/A</v>
      </c>
      <c r="E4" s="3" t="s">
        <v>833</v>
      </c>
      <c r="F4" s="3" t="s">
        <v>311</v>
      </c>
    </row>
    <row r="5" spans="1:6" s="3" customFormat="1" x14ac:dyDescent="0.25">
      <c r="A5" s="3" t="s">
        <v>693</v>
      </c>
      <c r="B5" s="3" t="s">
        <v>775</v>
      </c>
      <c r="C5" s="3" t="s">
        <v>686</v>
      </c>
      <c r="D5" s="3" t="e">
        <f>VLOOKUP(B5,'Zipper 7-23'!B:B,1,0)</f>
        <v>#N/A</v>
      </c>
      <c r="E5" s="15" t="s">
        <v>833</v>
      </c>
      <c r="F5" s="15" t="s">
        <v>311</v>
      </c>
    </row>
    <row r="6" spans="1:6" s="2" customFormat="1" x14ac:dyDescent="0.25">
      <c r="A6" s="2" t="s">
        <v>22</v>
      </c>
      <c r="B6" s="2" t="s">
        <v>302</v>
      </c>
      <c r="C6" s="2" t="s">
        <v>333</v>
      </c>
      <c r="D6" s="2" t="str">
        <f>VLOOKUP(B6,'Zipper 7-23'!B:B,1,0)</f>
        <v>aujpjptokdaiwcp-a01.tfn.com</v>
      </c>
      <c r="E6" s="2" t="s">
        <v>839</v>
      </c>
    </row>
    <row r="7" spans="1:6" s="2" customFormat="1" x14ac:dyDescent="0.25">
      <c r="A7" s="2" t="s">
        <v>2</v>
      </c>
      <c r="B7" s="2" t="s">
        <v>245</v>
      </c>
      <c r="C7" s="2" t="s">
        <v>374</v>
      </c>
      <c r="D7" s="2" t="str">
        <f>VLOOKUP(B7,'Zipper 7-23'!B:B,1,0)</f>
        <v>pvdr.int.thomsonreuters.com</v>
      </c>
      <c r="E7" s="2" t="s">
        <v>678</v>
      </c>
      <c r="F7" s="2" t="s">
        <v>683</v>
      </c>
    </row>
    <row r="8" spans="1:6" s="4" customFormat="1" x14ac:dyDescent="0.25">
      <c r="A8" s="4" t="s">
        <v>694</v>
      </c>
      <c r="B8" s="4" t="s">
        <v>776</v>
      </c>
      <c r="C8" s="4" t="s">
        <v>687</v>
      </c>
      <c r="D8" s="4" t="e">
        <f>VLOOKUP(B8,'Zipper 7-23'!B:B,1,0)</f>
        <v>#N/A</v>
      </c>
      <c r="E8" s="4" t="s">
        <v>837</v>
      </c>
      <c r="F8" s="4" t="s">
        <v>838</v>
      </c>
    </row>
    <row r="9" spans="1:6" s="4" customFormat="1" x14ac:dyDescent="0.25">
      <c r="A9" s="4" t="s">
        <v>695</v>
      </c>
      <c r="B9" s="4" t="s">
        <v>777</v>
      </c>
      <c r="C9" s="4" t="s">
        <v>687</v>
      </c>
      <c r="D9" s="4" t="e">
        <f>VLOOKUP(B9,'Zipper 7-23'!B:B,1,0)</f>
        <v>#N/A</v>
      </c>
      <c r="E9" s="4" t="s">
        <v>837</v>
      </c>
      <c r="F9" s="4" t="s">
        <v>838</v>
      </c>
    </row>
    <row r="10" spans="1:6" s="4" customFormat="1" x14ac:dyDescent="0.25">
      <c r="A10" s="4" t="s">
        <v>696</v>
      </c>
      <c r="B10" s="4" t="s">
        <v>778</v>
      </c>
      <c r="C10" s="4" t="s">
        <v>687</v>
      </c>
      <c r="D10" s="4" t="e">
        <f>VLOOKUP(B10,'Zipper 7-23'!B:B,1,0)</f>
        <v>#N/A</v>
      </c>
      <c r="E10" s="4" t="s">
        <v>837</v>
      </c>
      <c r="F10" s="4" t="s">
        <v>838</v>
      </c>
    </row>
    <row r="11" spans="1:6" s="3" customFormat="1" x14ac:dyDescent="0.25">
      <c r="A11" s="3" t="s">
        <v>697</v>
      </c>
      <c r="B11" s="3" t="s">
        <v>779</v>
      </c>
      <c r="C11" s="3" t="s">
        <v>685</v>
      </c>
      <c r="D11" s="3" t="e">
        <f>VLOOKUP(B11,'Zipper 7-23'!B:B,1,0)</f>
        <v>#N/A</v>
      </c>
      <c r="E11" s="3" t="s">
        <v>599</v>
      </c>
      <c r="F11" s="3" t="s">
        <v>311</v>
      </c>
    </row>
    <row r="12" spans="1:6" s="3" customFormat="1" x14ac:dyDescent="0.25">
      <c r="A12" s="3" t="s">
        <v>698</v>
      </c>
      <c r="B12" s="3" t="s">
        <v>780</v>
      </c>
      <c r="C12" s="3" t="s">
        <v>685</v>
      </c>
      <c r="D12" s="3" t="e">
        <f>VLOOKUP(B12,'Zipper 7-23'!B:B,1,0)</f>
        <v>#N/A</v>
      </c>
      <c r="E12" s="3" t="s">
        <v>599</v>
      </c>
      <c r="F12" s="3" t="s">
        <v>311</v>
      </c>
    </row>
    <row r="13" spans="1:6" s="3" customFormat="1" x14ac:dyDescent="0.25">
      <c r="A13" s="3" t="s">
        <v>699</v>
      </c>
      <c r="B13" s="3" t="s">
        <v>781</v>
      </c>
      <c r="C13" s="3" t="s">
        <v>685</v>
      </c>
      <c r="D13" s="3" t="e">
        <f>VLOOKUP(B13,'Zipper 7-23'!B:B,1,0)</f>
        <v>#N/A</v>
      </c>
      <c r="E13" s="3" t="s">
        <v>599</v>
      </c>
      <c r="F13" s="3" t="s">
        <v>311</v>
      </c>
    </row>
    <row r="14" spans="1:6" s="3" customFormat="1" x14ac:dyDescent="0.25">
      <c r="A14" s="3" t="s">
        <v>700</v>
      </c>
      <c r="B14" s="3" t="s">
        <v>780</v>
      </c>
      <c r="C14" s="3" t="s">
        <v>685</v>
      </c>
      <c r="D14" s="3" t="e">
        <f>VLOOKUP(B14,'Zipper 7-23'!B:B,1,0)</f>
        <v>#N/A</v>
      </c>
      <c r="E14" s="3" t="s">
        <v>599</v>
      </c>
      <c r="F14" s="3" t="s">
        <v>311</v>
      </c>
    </row>
    <row r="15" spans="1:6" s="3" customFormat="1" x14ac:dyDescent="0.25">
      <c r="A15" s="3" t="s">
        <v>701</v>
      </c>
      <c r="B15" s="3" t="s">
        <v>781</v>
      </c>
      <c r="C15" s="3" t="s">
        <v>685</v>
      </c>
      <c r="D15" s="3" t="e">
        <f>VLOOKUP(B15,'Zipper 7-23'!B:B,1,0)</f>
        <v>#N/A</v>
      </c>
      <c r="E15" s="3" t="s">
        <v>599</v>
      </c>
      <c r="F15" s="3" t="s">
        <v>311</v>
      </c>
    </row>
    <row r="16" spans="1:6" s="2" customFormat="1" x14ac:dyDescent="0.25">
      <c r="A16" s="2" t="s">
        <v>17</v>
      </c>
      <c r="B16" s="2" t="s">
        <v>285</v>
      </c>
      <c r="C16" s="2" t="s">
        <v>374</v>
      </c>
      <c r="D16" s="2" t="str">
        <f>VLOOKUP(B16,'Zipper 7-23'!B:B,1,0)</f>
        <v>pvcluster.int.thomsonreuters.com</v>
      </c>
      <c r="E16" s="2" t="s">
        <v>678</v>
      </c>
      <c r="F16" s="2" t="s">
        <v>683</v>
      </c>
    </row>
    <row r="17" spans="1:6" s="3" customFormat="1" x14ac:dyDescent="0.25">
      <c r="A17" s="3" t="s">
        <v>434</v>
      </c>
      <c r="B17" s="3" t="s">
        <v>563</v>
      </c>
      <c r="C17" s="3" t="s">
        <v>424</v>
      </c>
      <c r="D17" s="3" t="e">
        <f>VLOOKUP(B17,'Zipper 7-23'!B:B,1,0)</f>
        <v>#N/A</v>
      </c>
      <c r="E17" s="3" t="s">
        <v>599</v>
      </c>
      <c r="F17" s="3" t="s">
        <v>311</v>
      </c>
    </row>
    <row r="18" spans="1:6" s="3" customFormat="1" x14ac:dyDescent="0.25">
      <c r="A18" s="3" t="s">
        <v>435</v>
      </c>
      <c r="B18" s="3" t="s">
        <v>564</v>
      </c>
      <c r="C18" s="3" t="s">
        <v>424</v>
      </c>
      <c r="D18" s="3" t="e">
        <f>VLOOKUP(B18,'Zipper 7-23'!B:B,1,0)</f>
        <v>#N/A</v>
      </c>
      <c r="E18" s="3" t="s">
        <v>599</v>
      </c>
      <c r="F18" s="3" t="s">
        <v>311</v>
      </c>
    </row>
    <row r="19" spans="1:6" s="3" customFormat="1" x14ac:dyDescent="0.25">
      <c r="A19" s="3" t="s">
        <v>436</v>
      </c>
      <c r="B19" s="3" t="s">
        <v>426</v>
      </c>
      <c r="C19" s="3" t="s">
        <v>424</v>
      </c>
      <c r="D19" s="3" t="e">
        <f>VLOOKUP(B19,'Zipper 7-23'!B:B,1,0)</f>
        <v>#N/A</v>
      </c>
      <c r="E19" s="3" t="s">
        <v>599</v>
      </c>
      <c r="F19" s="3" t="s">
        <v>311</v>
      </c>
    </row>
    <row r="20" spans="1:6" s="3" customFormat="1" x14ac:dyDescent="0.25">
      <c r="A20" s="3" t="s">
        <v>437</v>
      </c>
      <c r="B20" s="3" t="s">
        <v>565</v>
      </c>
      <c r="C20" s="3" t="s">
        <v>424</v>
      </c>
      <c r="D20" s="3" t="e">
        <f>VLOOKUP(B20,'Zipper 7-23'!B:B,1,0)</f>
        <v>#N/A</v>
      </c>
      <c r="E20" s="3" t="s">
        <v>599</v>
      </c>
      <c r="F20" s="3" t="s">
        <v>311</v>
      </c>
    </row>
    <row r="21" spans="1:6" s="3" customFormat="1" x14ac:dyDescent="0.25">
      <c r="A21" s="3" t="s">
        <v>567</v>
      </c>
      <c r="C21" s="3" t="s">
        <v>688</v>
      </c>
      <c r="D21" s="3" t="e">
        <f>VLOOKUP(B21,'Zipper 7-23'!B:B,1,0)</f>
        <v>#N/A</v>
      </c>
      <c r="E21" s="3" t="s">
        <v>834</v>
      </c>
      <c r="F21" s="3" t="s">
        <v>835</v>
      </c>
    </row>
    <row r="22" spans="1:6" s="3" customFormat="1" x14ac:dyDescent="0.25">
      <c r="A22" s="3" t="s">
        <v>702</v>
      </c>
      <c r="B22" s="3" t="s">
        <v>782</v>
      </c>
      <c r="C22" s="3" t="s">
        <v>685</v>
      </c>
      <c r="D22" s="3" t="e">
        <f>VLOOKUP(B22,'Zipper 7-23'!B:B,1,0)</f>
        <v>#N/A</v>
      </c>
      <c r="E22" s="3" t="s">
        <v>836</v>
      </c>
      <c r="F22" s="3" t="s">
        <v>311</v>
      </c>
    </row>
    <row r="23" spans="1:6" s="3" customFormat="1" x14ac:dyDescent="0.25">
      <c r="A23" s="3" t="s">
        <v>703</v>
      </c>
      <c r="B23" s="3" t="s">
        <v>783</v>
      </c>
      <c r="C23" s="3" t="s">
        <v>685</v>
      </c>
      <c r="D23" s="3" t="e">
        <f>VLOOKUP(B23,'Zipper 7-23'!B:B,1,0)</f>
        <v>#N/A</v>
      </c>
      <c r="E23" s="3" t="s">
        <v>836</v>
      </c>
      <c r="F23" s="3" t="s">
        <v>311</v>
      </c>
    </row>
    <row r="24" spans="1:6" s="3" customFormat="1" x14ac:dyDescent="0.25">
      <c r="A24" s="3" t="s">
        <v>704</v>
      </c>
      <c r="B24" s="3" t="s">
        <v>784</v>
      </c>
      <c r="C24" s="3" t="s">
        <v>685</v>
      </c>
      <c r="D24" s="3" t="e">
        <f>VLOOKUP(B24,'Zipper 7-23'!B:B,1,0)</f>
        <v>#N/A</v>
      </c>
      <c r="E24" s="3" t="s">
        <v>836</v>
      </c>
      <c r="F24" s="3" t="s">
        <v>311</v>
      </c>
    </row>
    <row r="25" spans="1:6" s="3" customFormat="1" x14ac:dyDescent="0.25">
      <c r="A25" s="3" t="s">
        <v>705</v>
      </c>
      <c r="B25" s="3" t="s">
        <v>785</v>
      </c>
      <c r="C25" s="3" t="s">
        <v>686</v>
      </c>
      <c r="D25" s="3" t="e">
        <f>VLOOKUP(B25,'Zipper 7-23'!B:B,1,0)</f>
        <v>#N/A</v>
      </c>
      <c r="E25" s="3" t="s">
        <v>836</v>
      </c>
      <c r="F25" s="3" t="s">
        <v>311</v>
      </c>
    </row>
    <row r="26" spans="1:6" s="3" customFormat="1" x14ac:dyDescent="0.25">
      <c r="A26" s="3" t="s">
        <v>706</v>
      </c>
      <c r="B26" s="3" t="s">
        <v>786</v>
      </c>
      <c r="C26" s="3" t="s">
        <v>686</v>
      </c>
      <c r="D26" s="3" t="e">
        <f>VLOOKUP(B26,'Zipper 7-23'!B:B,1,0)</f>
        <v>#N/A</v>
      </c>
      <c r="E26" s="3" t="s">
        <v>836</v>
      </c>
      <c r="F26" s="3" t="s">
        <v>311</v>
      </c>
    </row>
    <row r="27" spans="1:6" s="3" customFormat="1" x14ac:dyDescent="0.25">
      <c r="A27" s="3" t="s">
        <v>707</v>
      </c>
      <c r="B27" s="3" t="s">
        <v>787</v>
      </c>
      <c r="C27" s="3" t="s">
        <v>686</v>
      </c>
      <c r="D27" s="3" t="e">
        <f>VLOOKUP(B27,'Zipper 7-23'!B:B,1,0)</f>
        <v>#N/A</v>
      </c>
      <c r="E27" s="3" t="s">
        <v>836</v>
      </c>
      <c r="F27" s="3" t="s">
        <v>311</v>
      </c>
    </row>
    <row r="28" spans="1:6" s="3" customFormat="1" x14ac:dyDescent="0.25">
      <c r="A28" s="3" t="s">
        <v>708</v>
      </c>
      <c r="B28" s="3" t="s">
        <v>788</v>
      </c>
      <c r="C28" s="3" t="s">
        <v>685</v>
      </c>
      <c r="D28" s="3" t="e">
        <f>VLOOKUP(B28,'Zipper 7-23'!B:B,1,0)</f>
        <v>#N/A</v>
      </c>
      <c r="E28" s="3" t="s">
        <v>836</v>
      </c>
      <c r="F28" s="3" t="s">
        <v>311</v>
      </c>
    </row>
    <row r="29" spans="1:6" s="3" customFormat="1" x14ac:dyDescent="0.25">
      <c r="A29" s="3" t="s">
        <v>709</v>
      </c>
      <c r="B29" s="3" t="s">
        <v>789</v>
      </c>
      <c r="C29" s="3" t="s">
        <v>686</v>
      </c>
      <c r="D29" s="3" t="e">
        <f>VLOOKUP(B29,'Zipper 7-23'!B:B,1,0)</f>
        <v>#N/A</v>
      </c>
      <c r="E29" s="3" t="s">
        <v>836</v>
      </c>
      <c r="F29" s="3" t="s">
        <v>311</v>
      </c>
    </row>
    <row r="30" spans="1:6" s="3" customFormat="1" x14ac:dyDescent="0.25">
      <c r="A30" s="3" t="s">
        <v>710</v>
      </c>
      <c r="B30" s="3" t="s">
        <v>790</v>
      </c>
      <c r="C30" s="3" t="s">
        <v>686</v>
      </c>
      <c r="D30" s="3" t="e">
        <f>VLOOKUP(B30,'Zipper 7-23'!B:B,1,0)</f>
        <v>#N/A</v>
      </c>
      <c r="E30" s="3" t="s">
        <v>836</v>
      </c>
      <c r="F30" s="3" t="s">
        <v>311</v>
      </c>
    </row>
    <row r="31" spans="1:6" s="3" customFormat="1" x14ac:dyDescent="0.25">
      <c r="A31" s="3" t="s">
        <v>711</v>
      </c>
      <c r="B31" s="3" t="s">
        <v>791</v>
      </c>
      <c r="C31" s="3" t="s">
        <v>686</v>
      </c>
      <c r="D31" s="3" t="e">
        <f>VLOOKUP(B31,'Zipper 7-23'!B:B,1,0)</f>
        <v>#N/A</v>
      </c>
      <c r="E31" s="3" t="s">
        <v>836</v>
      </c>
      <c r="F31" s="3" t="s">
        <v>311</v>
      </c>
    </row>
    <row r="32" spans="1:6" s="3" customFormat="1" x14ac:dyDescent="0.25">
      <c r="A32" s="3" t="s">
        <v>712</v>
      </c>
      <c r="B32" s="3" t="s">
        <v>792</v>
      </c>
      <c r="C32" s="3" t="s">
        <v>686</v>
      </c>
      <c r="D32" s="3" t="e">
        <f>VLOOKUP(B32,'Zipper 7-23'!B:B,1,0)</f>
        <v>#N/A</v>
      </c>
      <c r="E32" s="3" t="s">
        <v>836</v>
      </c>
      <c r="F32" s="3" t="s">
        <v>311</v>
      </c>
    </row>
    <row r="33" spans="1:6" s="3" customFormat="1" x14ac:dyDescent="0.25">
      <c r="A33" s="3" t="s">
        <v>713</v>
      </c>
      <c r="B33" s="3" t="s">
        <v>793</v>
      </c>
      <c r="C33" s="3" t="s">
        <v>685</v>
      </c>
      <c r="D33" s="3" t="e">
        <f>VLOOKUP(B33,'Zipper 7-23'!B:B,1,0)</f>
        <v>#N/A</v>
      </c>
      <c r="E33" s="3" t="s">
        <v>836</v>
      </c>
      <c r="F33" s="3" t="s">
        <v>311</v>
      </c>
    </row>
    <row r="34" spans="1:6" s="3" customFormat="1" x14ac:dyDescent="0.25">
      <c r="A34" s="3" t="s">
        <v>714</v>
      </c>
      <c r="B34" s="3" t="s">
        <v>794</v>
      </c>
      <c r="C34" s="3" t="s">
        <v>686</v>
      </c>
      <c r="D34" s="3" t="e">
        <f>VLOOKUP(B34,'Zipper 7-23'!B:B,1,0)</f>
        <v>#N/A</v>
      </c>
      <c r="E34" s="3" t="s">
        <v>836</v>
      </c>
      <c r="F34" s="3" t="s">
        <v>311</v>
      </c>
    </row>
    <row r="35" spans="1:6" s="3" customFormat="1" x14ac:dyDescent="0.25">
      <c r="A35" s="3" t="s">
        <v>715</v>
      </c>
      <c r="B35" s="3" t="s">
        <v>795</v>
      </c>
      <c r="C35" s="3" t="s">
        <v>685</v>
      </c>
      <c r="D35" s="3" t="e">
        <f>VLOOKUP(B35,'Zipper 7-23'!B:B,1,0)</f>
        <v>#N/A</v>
      </c>
      <c r="E35" s="3" t="s">
        <v>836</v>
      </c>
      <c r="F35" s="3" t="s">
        <v>311</v>
      </c>
    </row>
    <row r="36" spans="1:6" s="3" customFormat="1" x14ac:dyDescent="0.25">
      <c r="A36" s="3" t="s">
        <v>716</v>
      </c>
      <c r="B36" s="3" t="s">
        <v>796</v>
      </c>
      <c r="C36" s="3" t="s">
        <v>686</v>
      </c>
      <c r="D36" s="3" t="e">
        <f>VLOOKUP(B36,'Zipper 7-23'!B:B,1,0)</f>
        <v>#N/A</v>
      </c>
      <c r="E36" s="3" t="s">
        <v>836</v>
      </c>
      <c r="F36" s="3" t="s">
        <v>311</v>
      </c>
    </row>
    <row r="37" spans="1:6" s="3" customFormat="1" x14ac:dyDescent="0.25">
      <c r="A37" s="3" t="s">
        <v>717</v>
      </c>
      <c r="B37" s="3" t="s">
        <v>797</v>
      </c>
      <c r="C37" s="3" t="s">
        <v>686</v>
      </c>
      <c r="D37" s="3" t="e">
        <f>VLOOKUP(B37,'Zipper 7-23'!B:B,1,0)</f>
        <v>#N/A</v>
      </c>
      <c r="E37" s="3" t="s">
        <v>836</v>
      </c>
      <c r="F37" s="3" t="s">
        <v>311</v>
      </c>
    </row>
    <row r="38" spans="1:6" s="3" customFormat="1" x14ac:dyDescent="0.25">
      <c r="A38" s="3" t="s">
        <v>718</v>
      </c>
      <c r="B38" s="3" t="s">
        <v>798</v>
      </c>
      <c r="C38" s="3" t="s">
        <v>685</v>
      </c>
      <c r="D38" s="3" t="e">
        <f>VLOOKUP(B38,'Zipper 7-23'!B:B,1,0)</f>
        <v>#N/A</v>
      </c>
      <c r="E38" s="3" t="s">
        <v>836</v>
      </c>
      <c r="F38" s="3" t="s">
        <v>311</v>
      </c>
    </row>
    <row r="39" spans="1:6" s="3" customFormat="1" x14ac:dyDescent="0.25">
      <c r="A39" s="3" t="s">
        <v>569</v>
      </c>
      <c r="B39" s="3" t="s">
        <v>544</v>
      </c>
      <c r="C39" s="3" t="s">
        <v>537</v>
      </c>
      <c r="D39" s="3" t="str">
        <f>VLOOKUP(B39,'Zipper 7-23'!B:B,1,0)</f>
        <v>C111WFXEMBX73</v>
      </c>
      <c r="E39" s="3" t="s">
        <v>836</v>
      </c>
      <c r="F39" s="3" t="s">
        <v>311</v>
      </c>
    </row>
    <row r="40" spans="1:6" s="3" customFormat="1" x14ac:dyDescent="0.25">
      <c r="A40" s="3" t="s">
        <v>644</v>
      </c>
      <c r="B40" s="3" t="s">
        <v>645</v>
      </c>
      <c r="C40" s="3" t="s">
        <v>601</v>
      </c>
      <c r="D40" s="3" t="str">
        <f>VLOOKUP(B40,'Zipper 7-23'!B:B,1,0)</f>
        <v>C304TZFQFS01</v>
      </c>
      <c r="E40" s="3" t="s">
        <v>836</v>
      </c>
      <c r="F40" s="3" t="s">
        <v>311</v>
      </c>
    </row>
    <row r="41" spans="1:6" s="3" customFormat="1" x14ac:dyDescent="0.25">
      <c r="A41" s="3" t="s">
        <v>719</v>
      </c>
      <c r="B41" s="3" t="s">
        <v>799</v>
      </c>
      <c r="C41" s="3" t="s">
        <v>689</v>
      </c>
      <c r="D41" s="3" t="e">
        <f>VLOOKUP(B41,'Zipper 7-23'!B:B,1,0)</f>
        <v>#N/A</v>
      </c>
      <c r="E41" s="3" t="s">
        <v>836</v>
      </c>
      <c r="F41" s="3" t="s">
        <v>311</v>
      </c>
    </row>
    <row r="42" spans="1:6" s="3" customFormat="1" x14ac:dyDescent="0.25">
      <c r="A42" s="3" t="s">
        <v>720</v>
      </c>
      <c r="B42" s="3" t="s">
        <v>800</v>
      </c>
      <c r="C42" s="3" t="s">
        <v>689</v>
      </c>
      <c r="D42" s="3" t="e">
        <f>VLOOKUP(B42,'Zipper 7-23'!B:B,1,0)</f>
        <v>#N/A</v>
      </c>
      <c r="E42" s="3" t="s">
        <v>836</v>
      </c>
      <c r="F42" s="3" t="s">
        <v>311</v>
      </c>
    </row>
    <row r="43" spans="1:6" s="3" customFormat="1" x14ac:dyDescent="0.25">
      <c r="A43" s="3" t="s">
        <v>721</v>
      </c>
      <c r="B43" s="3" t="s">
        <v>801</v>
      </c>
      <c r="C43" s="3" t="s">
        <v>689</v>
      </c>
      <c r="D43" s="3" t="e">
        <f>VLOOKUP(B43,'Zipper 7-23'!B:B,1,0)</f>
        <v>#N/A</v>
      </c>
      <c r="E43" s="3" t="s">
        <v>836</v>
      </c>
      <c r="F43" s="3" t="s">
        <v>311</v>
      </c>
    </row>
    <row r="44" spans="1:6" s="3" customFormat="1" x14ac:dyDescent="0.25">
      <c r="A44" s="3" t="s">
        <v>722</v>
      </c>
      <c r="B44" s="3" t="s">
        <v>802</v>
      </c>
      <c r="C44" s="3" t="s">
        <v>689</v>
      </c>
      <c r="D44" s="3" t="e">
        <f>VLOOKUP(B44,'Zipper 7-23'!B:B,1,0)</f>
        <v>#N/A</v>
      </c>
      <c r="E44" s="3" t="s">
        <v>836</v>
      </c>
      <c r="F44" s="3" t="s">
        <v>311</v>
      </c>
    </row>
    <row r="45" spans="1:6" s="3" customFormat="1" x14ac:dyDescent="0.25">
      <c r="A45" s="3" t="s">
        <v>723</v>
      </c>
      <c r="B45" s="3" t="s">
        <v>803</v>
      </c>
      <c r="C45" s="3" t="s">
        <v>689</v>
      </c>
      <c r="D45" s="3" t="e">
        <f>VLOOKUP(B45,'Zipper 7-23'!B:B,1,0)</f>
        <v>#N/A</v>
      </c>
      <c r="E45" s="3" t="s">
        <v>836</v>
      </c>
      <c r="F45" s="3" t="s">
        <v>311</v>
      </c>
    </row>
    <row r="46" spans="1:6" s="3" customFormat="1" x14ac:dyDescent="0.25">
      <c r="A46" s="3" t="s">
        <v>724</v>
      </c>
      <c r="B46" s="3" t="s">
        <v>804</v>
      </c>
      <c r="C46" s="3" t="s">
        <v>689</v>
      </c>
      <c r="D46" s="3" t="e">
        <f>VLOOKUP(B46,'Zipper 7-23'!B:B,1,0)</f>
        <v>#N/A</v>
      </c>
      <c r="E46" s="3" t="s">
        <v>836</v>
      </c>
      <c r="F46" s="3" t="s">
        <v>311</v>
      </c>
    </row>
    <row r="47" spans="1:6" s="3" customFormat="1" x14ac:dyDescent="0.25">
      <c r="A47" s="3" t="s">
        <v>725</v>
      </c>
      <c r="B47" s="3" t="s">
        <v>805</v>
      </c>
      <c r="C47" s="3" t="s">
        <v>689</v>
      </c>
      <c r="D47" s="3" t="e">
        <f>VLOOKUP(B47,'Zipper 7-23'!B:B,1,0)</f>
        <v>#N/A</v>
      </c>
      <c r="E47" s="3" t="s">
        <v>836</v>
      </c>
      <c r="F47" s="3" t="s">
        <v>311</v>
      </c>
    </row>
    <row r="48" spans="1:6" s="3" customFormat="1" x14ac:dyDescent="0.25">
      <c r="A48" s="3" t="s">
        <v>726</v>
      </c>
      <c r="B48" s="3" t="s">
        <v>806</v>
      </c>
      <c r="C48" s="3" t="s">
        <v>689</v>
      </c>
      <c r="D48" s="3" t="e">
        <f>VLOOKUP(B48,'Zipper 7-23'!B:B,1,0)</f>
        <v>#N/A</v>
      </c>
      <c r="E48" s="3" t="s">
        <v>836</v>
      </c>
      <c r="F48" s="3" t="s">
        <v>311</v>
      </c>
    </row>
    <row r="49" spans="1:6" s="3" customFormat="1" x14ac:dyDescent="0.25">
      <c r="A49" s="3" t="s">
        <v>727</v>
      </c>
      <c r="B49" s="3" t="s">
        <v>807</v>
      </c>
      <c r="C49" s="3" t="s">
        <v>689</v>
      </c>
      <c r="D49" s="3" t="e">
        <f>VLOOKUP(B49,'Zipper 7-23'!B:B,1,0)</f>
        <v>#N/A</v>
      </c>
      <c r="E49" s="3" t="s">
        <v>836</v>
      </c>
      <c r="F49" s="3" t="s">
        <v>311</v>
      </c>
    </row>
    <row r="50" spans="1:6" s="3" customFormat="1" x14ac:dyDescent="0.25">
      <c r="A50" s="3" t="s">
        <v>728</v>
      </c>
      <c r="B50" s="3" t="s">
        <v>808</v>
      </c>
      <c r="C50" s="3" t="s">
        <v>689</v>
      </c>
      <c r="D50" s="3" t="e">
        <f>VLOOKUP(B50,'Zipper 7-23'!B:B,1,0)</f>
        <v>#N/A</v>
      </c>
      <c r="E50" s="3" t="s">
        <v>836</v>
      </c>
      <c r="F50" s="3" t="s">
        <v>311</v>
      </c>
    </row>
    <row r="51" spans="1:6" s="3" customFormat="1" x14ac:dyDescent="0.25">
      <c r="A51" s="3" t="s">
        <v>729</v>
      </c>
      <c r="B51" s="3" t="s">
        <v>809</v>
      </c>
      <c r="C51" s="3" t="s">
        <v>689</v>
      </c>
      <c r="D51" s="3" t="e">
        <f>VLOOKUP(B51,'Zipper 7-23'!B:B,1,0)</f>
        <v>#N/A</v>
      </c>
      <c r="E51" s="3" t="s">
        <v>836</v>
      </c>
      <c r="F51" s="3" t="s">
        <v>311</v>
      </c>
    </row>
    <row r="52" spans="1:6" s="3" customFormat="1" x14ac:dyDescent="0.25">
      <c r="A52" s="3" t="s">
        <v>730</v>
      </c>
      <c r="B52" s="3" t="s">
        <v>810</v>
      </c>
      <c r="C52" s="3" t="s">
        <v>689</v>
      </c>
      <c r="D52" s="3" t="e">
        <f>VLOOKUP(B52,'Zipper 7-23'!B:B,1,0)</f>
        <v>#N/A</v>
      </c>
      <c r="E52" s="3" t="s">
        <v>836</v>
      </c>
      <c r="F52" s="3" t="s">
        <v>311</v>
      </c>
    </row>
    <row r="53" spans="1:6" s="3" customFormat="1" x14ac:dyDescent="0.25">
      <c r="A53" s="3" t="s">
        <v>731</v>
      </c>
      <c r="B53" s="3" t="s">
        <v>811</v>
      </c>
      <c r="C53" s="3" t="s">
        <v>689</v>
      </c>
      <c r="D53" s="3" t="e">
        <f>VLOOKUP(B53,'Zipper 7-23'!B:B,1,0)</f>
        <v>#N/A</v>
      </c>
      <c r="E53" s="3" t="s">
        <v>836</v>
      </c>
      <c r="F53" s="3" t="s">
        <v>311</v>
      </c>
    </row>
    <row r="54" spans="1:6" s="3" customFormat="1" x14ac:dyDescent="0.25">
      <c r="A54" s="3" t="s">
        <v>732</v>
      </c>
      <c r="B54" s="3" t="s">
        <v>812</v>
      </c>
      <c r="C54" s="3" t="s">
        <v>689</v>
      </c>
      <c r="D54" s="3" t="e">
        <f>VLOOKUP(B54,'Zipper 7-23'!B:B,1,0)</f>
        <v>#N/A</v>
      </c>
      <c r="E54" s="3" t="s">
        <v>836</v>
      </c>
      <c r="F54" s="3" t="s">
        <v>311</v>
      </c>
    </row>
    <row r="55" spans="1:6" s="3" customFormat="1" x14ac:dyDescent="0.25">
      <c r="A55" s="3" t="s">
        <v>733</v>
      </c>
      <c r="B55" s="3" t="s">
        <v>813</v>
      </c>
      <c r="C55" s="3" t="s">
        <v>689</v>
      </c>
      <c r="D55" s="3" t="e">
        <f>VLOOKUP(B55,'Zipper 7-23'!B:B,1,0)</f>
        <v>#N/A</v>
      </c>
      <c r="E55" s="3" t="s">
        <v>836</v>
      </c>
      <c r="F55" s="3" t="s">
        <v>311</v>
      </c>
    </row>
    <row r="56" spans="1:6" s="3" customFormat="1" x14ac:dyDescent="0.25">
      <c r="A56" s="3" t="s">
        <v>734</v>
      </c>
      <c r="B56" s="3" t="s">
        <v>814</v>
      </c>
      <c r="C56" s="3" t="s">
        <v>689</v>
      </c>
      <c r="D56" s="3" t="e">
        <f>VLOOKUP(B56,'Zipper 7-23'!B:B,1,0)</f>
        <v>#N/A</v>
      </c>
      <c r="E56" s="3" t="s">
        <v>836</v>
      </c>
      <c r="F56" s="3" t="s">
        <v>311</v>
      </c>
    </row>
    <row r="57" spans="1:6" s="3" customFormat="1" x14ac:dyDescent="0.25">
      <c r="A57" s="3" t="s">
        <v>735</v>
      </c>
      <c r="B57" s="3" t="s">
        <v>815</v>
      </c>
      <c r="C57" s="3" t="s">
        <v>689</v>
      </c>
      <c r="D57" s="3" t="e">
        <f>VLOOKUP(B57,'Zipper 7-23'!B:B,1,0)</f>
        <v>#N/A</v>
      </c>
      <c r="E57" s="3" t="s">
        <v>836</v>
      </c>
      <c r="F57" s="3" t="s">
        <v>311</v>
      </c>
    </row>
    <row r="58" spans="1:6" s="3" customFormat="1" x14ac:dyDescent="0.25">
      <c r="A58" s="3" t="s">
        <v>736</v>
      </c>
      <c r="B58" s="3" t="s">
        <v>816</v>
      </c>
      <c r="C58" s="3" t="s">
        <v>689</v>
      </c>
      <c r="D58" s="3" t="e">
        <f>VLOOKUP(B58,'Zipper 7-23'!B:B,1,0)</f>
        <v>#N/A</v>
      </c>
      <c r="E58" s="3" t="s">
        <v>836</v>
      </c>
      <c r="F58" s="3" t="s">
        <v>311</v>
      </c>
    </row>
    <row r="59" spans="1:6" s="3" customFormat="1" x14ac:dyDescent="0.25">
      <c r="A59" s="3" t="s">
        <v>737</v>
      </c>
      <c r="B59" s="3" t="s">
        <v>817</v>
      </c>
      <c r="C59" s="3" t="s">
        <v>689</v>
      </c>
      <c r="D59" s="3" t="e">
        <f>VLOOKUP(B59,'Zipper 7-23'!B:B,1,0)</f>
        <v>#N/A</v>
      </c>
      <c r="E59" s="3" t="s">
        <v>836</v>
      </c>
      <c r="F59" s="3" t="s">
        <v>311</v>
      </c>
    </row>
    <row r="60" spans="1:6" s="2" customFormat="1" x14ac:dyDescent="0.25">
      <c r="A60" s="2" t="s">
        <v>507</v>
      </c>
      <c r="B60" s="2" t="s">
        <v>525</v>
      </c>
      <c r="C60" s="2" t="s">
        <v>496</v>
      </c>
      <c r="D60" s="2" t="str">
        <f>VLOOKUP(B60,'Zipper 7-23'!B:B,1,0)</f>
        <v>powerapp.int.westgroup.com</v>
      </c>
      <c r="E60" s="2" t="s">
        <v>678</v>
      </c>
      <c r="F60" s="2" t="s">
        <v>683</v>
      </c>
    </row>
    <row r="61" spans="1:6" s="2" customFormat="1" x14ac:dyDescent="0.25">
      <c r="A61" s="2" t="s">
        <v>647</v>
      </c>
      <c r="B61" s="2" t="s">
        <v>648</v>
      </c>
      <c r="C61" s="2" t="s">
        <v>603</v>
      </c>
      <c r="D61" s="2" t="str">
        <f>VLOOKUP(B61,'Zipper 7-23'!B:B,1,0)</f>
        <v>rsgprod-test.int.westgroup.com</v>
      </c>
      <c r="E61" s="2" t="s">
        <v>678</v>
      </c>
      <c r="F61" s="2" t="s">
        <v>683</v>
      </c>
    </row>
    <row r="62" spans="1:6" x14ac:dyDescent="0.25">
      <c r="A62" t="s">
        <v>738</v>
      </c>
      <c r="B62" t="s">
        <v>818</v>
      </c>
      <c r="C62" t="s">
        <v>685</v>
      </c>
      <c r="D62" t="e">
        <f>VLOOKUP(B62,'Zipper 7-23'!B:B,1,0)</f>
        <v>#N/A</v>
      </c>
    </row>
    <row r="63" spans="1:6" x14ac:dyDescent="0.25">
      <c r="A63" t="s">
        <v>739</v>
      </c>
      <c r="B63" t="s">
        <v>819</v>
      </c>
      <c r="C63" t="s">
        <v>685</v>
      </c>
      <c r="D63" t="e">
        <f>VLOOKUP(B63,'Zipper 7-23'!B:B,1,0)</f>
        <v>#N/A</v>
      </c>
    </row>
    <row r="64" spans="1:6" x14ac:dyDescent="0.25">
      <c r="A64" t="s">
        <v>508</v>
      </c>
      <c r="B64" t="s">
        <v>527</v>
      </c>
      <c r="C64" t="s">
        <v>491</v>
      </c>
      <c r="D64" t="e">
        <f>VLOOKUP(B64,'Zipper 7-23'!B:B,1,0)</f>
        <v>#N/A</v>
      </c>
    </row>
    <row r="65" spans="1:6" x14ac:dyDescent="0.25">
      <c r="A65" t="s">
        <v>44</v>
      </c>
      <c r="B65" t="s">
        <v>324</v>
      </c>
      <c r="C65" t="s">
        <v>380</v>
      </c>
      <c r="D65" t="e">
        <f>VLOOKUP(B65,'Zipper 7-23'!B:B,1,0)</f>
        <v>#N/A</v>
      </c>
    </row>
    <row r="66" spans="1:6" s="2" customFormat="1" x14ac:dyDescent="0.25">
      <c r="A66" s="2" t="s">
        <v>509</v>
      </c>
      <c r="B66" s="2" t="s">
        <v>528</v>
      </c>
      <c r="C66" s="2" t="s">
        <v>497</v>
      </c>
      <c r="D66" s="2" t="str">
        <f>VLOOKUP(B66,'Zipper 7-23'!B:B,1,0)</f>
        <v>boardlinkservices-qa.accelus.eu</v>
      </c>
      <c r="E66" s="2" t="s">
        <v>678</v>
      </c>
      <c r="F66" s="2" t="s">
        <v>683</v>
      </c>
    </row>
    <row r="67" spans="1:6" s="2" customFormat="1" x14ac:dyDescent="0.25">
      <c r="A67" s="2" t="s">
        <v>510</v>
      </c>
      <c r="B67" s="2" t="s">
        <v>529</v>
      </c>
      <c r="C67" s="2" t="s">
        <v>497</v>
      </c>
      <c r="D67" s="2" t="str">
        <f>VLOOKUP(B67,'Zipper 7-23'!B:B,1,0)</f>
        <v>boardlinkdav-qa.accelus.eu</v>
      </c>
      <c r="E67" s="2" t="s">
        <v>678</v>
      </c>
      <c r="F67" s="2" t="s">
        <v>683</v>
      </c>
    </row>
    <row r="68" spans="1:6" s="3" customFormat="1" x14ac:dyDescent="0.25">
      <c r="A68" s="3" t="s">
        <v>740</v>
      </c>
      <c r="B68" s="3" t="s">
        <v>820</v>
      </c>
      <c r="C68" s="3" t="s">
        <v>689</v>
      </c>
      <c r="D68" s="3" t="e">
        <f>VLOOKUP(B68,'Zipper 7-23'!B:B,1,0)</f>
        <v>#N/A</v>
      </c>
      <c r="E68" s="3" t="s">
        <v>836</v>
      </c>
      <c r="F68" s="3" t="s">
        <v>311</v>
      </c>
    </row>
    <row r="69" spans="1:6" s="3" customFormat="1" x14ac:dyDescent="0.25">
      <c r="A69" s="3" t="s">
        <v>741</v>
      </c>
      <c r="B69" s="3" t="s">
        <v>821</v>
      </c>
      <c r="C69" s="3" t="s">
        <v>689</v>
      </c>
      <c r="D69" s="3" t="e">
        <f>VLOOKUP(B69,'Zipper 7-23'!B:B,1,0)</f>
        <v>#N/A</v>
      </c>
      <c r="E69" s="3" t="s">
        <v>836</v>
      </c>
      <c r="F69" s="3" t="s">
        <v>311</v>
      </c>
    </row>
    <row r="70" spans="1:6" s="3" customFormat="1" x14ac:dyDescent="0.25">
      <c r="A70" s="3" t="s">
        <v>742</v>
      </c>
      <c r="B70" s="3" t="s">
        <v>822</v>
      </c>
      <c r="C70" s="3" t="s">
        <v>689</v>
      </c>
      <c r="D70" s="3" t="e">
        <f>VLOOKUP(B70,'Zipper 7-23'!B:B,1,0)</f>
        <v>#N/A</v>
      </c>
      <c r="E70" s="3" t="s">
        <v>836</v>
      </c>
      <c r="F70" s="3" t="s">
        <v>311</v>
      </c>
    </row>
    <row r="71" spans="1:6" s="3" customFormat="1" x14ac:dyDescent="0.25">
      <c r="A71" s="3" t="s">
        <v>743</v>
      </c>
      <c r="B71" s="3" t="s">
        <v>800</v>
      </c>
      <c r="C71" s="3" t="s">
        <v>689</v>
      </c>
      <c r="D71" s="3" t="e">
        <f>VLOOKUP(B71,'Zipper 7-23'!B:B,1,0)</f>
        <v>#N/A</v>
      </c>
      <c r="E71" s="3" t="s">
        <v>836</v>
      </c>
      <c r="F71" s="3" t="s">
        <v>311</v>
      </c>
    </row>
    <row r="72" spans="1:6" s="3" customFormat="1" x14ac:dyDescent="0.25">
      <c r="A72" s="3" t="s">
        <v>744</v>
      </c>
      <c r="B72" s="3" t="s">
        <v>803</v>
      </c>
      <c r="C72" s="3" t="s">
        <v>689</v>
      </c>
      <c r="D72" s="3" t="e">
        <f>VLOOKUP(B72,'Zipper 7-23'!B:B,1,0)</f>
        <v>#N/A</v>
      </c>
      <c r="E72" s="3" t="s">
        <v>836</v>
      </c>
      <c r="F72" s="3" t="s">
        <v>311</v>
      </c>
    </row>
    <row r="73" spans="1:6" s="3" customFormat="1" x14ac:dyDescent="0.25">
      <c r="A73" s="3" t="s">
        <v>745</v>
      </c>
      <c r="B73" s="3" t="s">
        <v>823</v>
      </c>
      <c r="C73" s="3" t="s">
        <v>689</v>
      </c>
      <c r="D73" s="3" t="e">
        <f>VLOOKUP(B73,'Zipper 7-23'!B:B,1,0)</f>
        <v>#N/A</v>
      </c>
      <c r="E73" s="3" t="s">
        <v>836</v>
      </c>
      <c r="F73" s="3" t="s">
        <v>311</v>
      </c>
    </row>
    <row r="74" spans="1:6" s="3" customFormat="1" x14ac:dyDescent="0.25">
      <c r="A74" s="3" t="s">
        <v>746</v>
      </c>
      <c r="B74" s="3" t="s">
        <v>805</v>
      </c>
      <c r="C74" s="3" t="s">
        <v>689</v>
      </c>
      <c r="D74" s="3" t="e">
        <f>VLOOKUP(B74,'Zipper 7-23'!B:B,1,0)</f>
        <v>#N/A</v>
      </c>
      <c r="E74" s="3" t="s">
        <v>836</v>
      </c>
      <c r="F74" s="3" t="s">
        <v>311</v>
      </c>
    </row>
    <row r="75" spans="1:6" s="3" customFormat="1" x14ac:dyDescent="0.25">
      <c r="A75" s="3" t="s">
        <v>747</v>
      </c>
      <c r="B75" s="3" t="s">
        <v>808</v>
      </c>
      <c r="C75" s="3" t="s">
        <v>689</v>
      </c>
      <c r="D75" s="3" t="e">
        <f>VLOOKUP(B75,'Zipper 7-23'!B:B,1,0)</f>
        <v>#N/A</v>
      </c>
      <c r="E75" s="3" t="s">
        <v>836</v>
      </c>
      <c r="F75" s="3" t="s">
        <v>311</v>
      </c>
    </row>
    <row r="76" spans="1:6" s="3" customFormat="1" x14ac:dyDescent="0.25">
      <c r="A76" s="3" t="s">
        <v>748</v>
      </c>
      <c r="B76" s="3" t="s">
        <v>810</v>
      </c>
      <c r="C76" s="3" t="s">
        <v>689</v>
      </c>
      <c r="D76" s="3" t="e">
        <f>VLOOKUP(B76,'Zipper 7-23'!B:B,1,0)</f>
        <v>#N/A</v>
      </c>
      <c r="E76" s="3" t="s">
        <v>836</v>
      </c>
      <c r="F76" s="3" t="s">
        <v>311</v>
      </c>
    </row>
    <row r="77" spans="1:6" s="3" customFormat="1" x14ac:dyDescent="0.25">
      <c r="A77" s="3" t="s">
        <v>749</v>
      </c>
      <c r="B77" s="3" t="s">
        <v>824</v>
      </c>
      <c r="C77" s="3" t="s">
        <v>689</v>
      </c>
      <c r="D77" s="3" t="e">
        <f>VLOOKUP(B77,'Zipper 7-23'!B:B,1,0)</f>
        <v>#N/A</v>
      </c>
      <c r="E77" s="3" t="s">
        <v>836</v>
      </c>
      <c r="F77" s="3" t="s">
        <v>311</v>
      </c>
    </row>
    <row r="78" spans="1:6" s="3" customFormat="1" x14ac:dyDescent="0.25">
      <c r="A78" s="3" t="s">
        <v>750</v>
      </c>
      <c r="B78" s="3" t="s">
        <v>816</v>
      </c>
      <c r="C78" s="3" t="s">
        <v>689</v>
      </c>
      <c r="D78" s="3" t="e">
        <f>VLOOKUP(B78,'Zipper 7-23'!B:B,1,0)</f>
        <v>#N/A</v>
      </c>
      <c r="E78" s="3" t="s">
        <v>836</v>
      </c>
      <c r="F78" s="3" t="s">
        <v>311</v>
      </c>
    </row>
    <row r="79" spans="1:6" s="3" customFormat="1" x14ac:dyDescent="0.25">
      <c r="A79" s="3" t="s">
        <v>751</v>
      </c>
      <c r="B79" s="3" t="s">
        <v>825</v>
      </c>
      <c r="C79" s="3" t="s">
        <v>689</v>
      </c>
      <c r="D79" s="3" t="e">
        <f>VLOOKUP(B79,'Zipper 7-23'!B:B,1,0)</f>
        <v>#N/A</v>
      </c>
      <c r="E79" s="3" t="s">
        <v>836</v>
      </c>
      <c r="F79" s="3" t="s">
        <v>311</v>
      </c>
    </row>
    <row r="80" spans="1:6" s="3" customFormat="1" x14ac:dyDescent="0.25">
      <c r="A80" s="3" t="s">
        <v>752</v>
      </c>
      <c r="B80" s="3" t="s">
        <v>826</v>
      </c>
      <c r="C80" s="3" t="s">
        <v>689</v>
      </c>
      <c r="D80" s="3" t="e">
        <f>VLOOKUP(B80,'Zipper 7-23'!B:B,1,0)</f>
        <v>#N/A</v>
      </c>
      <c r="E80" s="3" t="s">
        <v>836</v>
      </c>
      <c r="F80" s="3" t="s">
        <v>311</v>
      </c>
    </row>
    <row r="81" spans="1:6" s="3" customFormat="1" x14ac:dyDescent="0.25">
      <c r="A81" s="3" t="s">
        <v>753</v>
      </c>
      <c r="B81" s="3" t="s">
        <v>801</v>
      </c>
      <c r="C81" s="3" t="s">
        <v>689</v>
      </c>
      <c r="D81" s="3" t="e">
        <f>VLOOKUP(B81,'Zipper 7-23'!B:B,1,0)</f>
        <v>#N/A</v>
      </c>
      <c r="E81" s="3" t="s">
        <v>836</v>
      </c>
      <c r="F81" s="3" t="s">
        <v>311</v>
      </c>
    </row>
    <row r="82" spans="1:6" s="3" customFormat="1" x14ac:dyDescent="0.25">
      <c r="A82" s="3" t="s">
        <v>754</v>
      </c>
      <c r="B82" s="3" t="s">
        <v>804</v>
      </c>
      <c r="C82" s="3" t="s">
        <v>689</v>
      </c>
      <c r="D82" s="3" t="e">
        <f>VLOOKUP(B82,'Zipper 7-23'!B:B,1,0)</f>
        <v>#N/A</v>
      </c>
      <c r="E82" s="3" t="s">
        <v>836</v>
      </c>
      <c r="F82" s="3" t="s">
        <v>311</v>
      </c>
    </row>
    <row r="83" spans="1:6" s="3" customFormat="1" x14ac:dyDescent="0.25">
      <c r="A83" s="3" t="s">
        <v>755</v>
      </c>
      <c r="B83" s="3" t="s">
        <v>827</v>
      </c>
      <c r="C83" s="3" t="s">
        <v>689</v>
      </c>
      <c r="D83" s="3" t="e">
        <f>VLOOKUP(B83,'Zipper 7-23'!B:B,1,0)</f>
        <v>#N/A</v>
      </c>
      <c r="E83" s="3" t="s">
        <v>836</v>
      </c>
      <c r="F83" s="3" t="s">
        <v>311</v>
      </c>
    </row>
    <row r="84" spans="1:6" s="3" customFormat="1" x14ac:dyDescent="0.25">
      <c r="A84" s="3" t="s">
        <v>756</v>
      </c>
      <c r="B84" s="3" t="s">
        <v>806</v>
      </c>
      <c r="C84" s="3" t="s">
        <v>689</v>
      </c>
      <c r="D84" s="3" t="e">
        <f>VLOOKUP(B84,'Zipper 7-23'!B:B,1,0)</f>
        <v>#N/A</v>
      </c>
      <c r="E84" s="3" t="s">
        <v>836</v>
      </c>
      <c r="F84" s="3" t="s">
        <v>311</v>
      </c>
    </row>
    <row r="85" spans="1:6" s="3" customFormat="1" x14ac:dyDescent="0.25">
      <c r="A85" s="3" t="s">
        <v>757</v>
      </c>
      <c r="B85" s="3" t="s">
        <v>809</v>
      </c>
      <c r="C85" s="3" t="s">
        <v>689</v>
      </c>
      <c r="D85" s="3" t="e">
        <f>VLOOKUP(B85,'Zipper 7-23'!B:B,1,0)</f>
        <v>#N/A</v>
      </c>
      <c r="E85" s="3" t="s">
        <v>836</v>
      </c>
      <c r="F85" s="3" t="s">
        <v>311</v>
      </c>
    </row>
    <row r="86" spans="1:6" s="3" customFormat="1" x14ac:dyDescent="0.25">
      <c r="A86" s="3" t="s">
        <v>758</v>
      </c>
      <c r="B86" s="3" t="s">
        <v>811</v>
      </c>
      <c r="C86" s="3" t="s">
        <v>689</v>
      </c>
      <c r="D86" s="3" t="e">
        <f>VLOOKUP(B86,'Zipper 7-23'!B:B,1,0)</f>
        <v>#N/A</v>
      </c>
      <c r="E86" s="3" t="s">
        <v>836</v>
      </c>
      <c r="F86" s="3" t="s">
        <v>311</v>
      </c>
    </row>
    <row r="87" spans="1:6" s="3" customFormat="1" x14ac:dyDescent="0.25">
      <c r="A87" s="3" t="s">
        <v>759</v>
      </c>
      <c r="B87" s="3" t="s">
        <v>828</v>
      </c>
      <c r="C87" s="3" t="s">
        <v>689</v>
      </c>
      <c r="D87" s="3" t="e">
        <f>VLOOKUP(B87,'Zipper 7-23'!B:B,1,0)</f>
        <v>#N/A</v>
      </c>
      <c r="E87" s="3" t="s">
        <v>836</v>
      </c>
      <c r="F87" s="3" t="s">
        <v>311</v>
      </c>
    </row>
    <row r="88" spans="1:6" s="3" customFormat="1" x14ac:dyDescent="0.25">
      <c r="A88" s="3" t="s">
        <v>760</v>
      </c>
      <c r="B88" s="3" t="s">
        <v>812</v>
      </c>
      <c r="C88" s="3" t="s">
        <v>689</v>
      </c>
      <c r="D88" s="3" t="e">
        <f>VLOOKUP(B88,'Zipper 7-23'!B:B,1,0)</f>
        <v>#N/A</v>
      </c>
      <c r="E88" s="3" t="s">
        <v>836</v>
      </c>
      <c r="F88" s="3" t="s">
        <v>311</v>
      </c>
    </row>
    <row r="89" spans="1:6" s="3" customFormat="1" x14ac:dyDescent="0.25">
      <c r="A89" s="3" t="s">
        <v>761</v>
      </c>
      <c r="B89" s="3" t="s">
        <v>813</v>
      </c>
      <c r="C89" s="3" t="s">
        <v>689</v>
      </c>
      <c r="D89" s="3" t="e">
        <f>VLOOKUP(B89,'Zipper 7-23'!B:B,1,0)</f>
        <v>#N/A</v>
      </c>
      <c r="E89" s="3" t="s">
        <v>836</v>
      </c>
      <c r="F89" s="3" t="s">
        <v>311</v>
      </c>
    </row>
    <row r="90" spans="1:6" s="3" customFormat="1" x14ac:dyDescent="0.25">
      <c r="A90" s="3" t="s">
        <v>762</v>
      </c>
      <c r="B90" s="3" t="s">
        <v>814</v>
      </c>
      <c r="C90" s="3" t="s">
        <v>689</v>
      </c>
      <c r="D90" s="3" t="e">
        <f>VLOOKUP(B90,'Zipper 7-23'!B:B,1,0)</f>
        <v>#N/A</v>
      </c>
      <c r="E90" s="3" t="s">
        <v>836</v>
      </c>
      <c r="F90" s="3" t="s">
        <v>311</v>
      </c>
    </row>
    <row r="91" spans="1:6" s="3" customFormat="1" x14ac:dyDescent="0.25">
      <c r="A91" s="3" t="s">
        <v>763</v>
      </c>
      <c r="B91" s="3" t="s">
        <v>829</v>
      </c>
      <c r="C91" s="3" t="s">
        <v>689</v>
      </c>
      <c r="D91" s="3" t="e">
        <f>VLOOKUP(B91,'Zipper 7-23'!B:B,1,0)</f>
        <v>#N/A</v>
      </c>
      <c r="E91" s="3" t="s">
        <v>836</v>
      </c>
      <c r="F91" s="3" t="s">
        <v>311</v>
      </c>
    </row>
    <row r="92" spans="1:6" s="3" customFormat="1" x14ac:dyDescent="0.25">
      <c r="A92" s="3" t="s">
        <v>764</v>
      </c>
      <c r="B92" s="3" t="s">
        <v>830</v>
      </c>
      <c r="C92" s="3" t="s">
        <v>689</v>
      </c>
      <c r="D92" s="3" t="e">
        <f>VLOOKUP(B92,'Zipper 7-23'!B:B,1,0)</f>
        <v>#N/A</v>
      </c>
      <c r="E92" s="3" t="s">
        <v>836</v>
      </c>
      <c r="F92" s="3" t="s">
        <v>311</v>
      </c>
    </row>
    <row r="93" spans="1:6" s="3" customFormat="1" x14ac:dyDescent="0.25">
      <c r="A93" s="3" t="s">
        <v>765</v>
      </c>
      <c r="B93" s="3" t="s">
        <v>799</v>
      </c>
      <c r="C93" s="3" t="s">
        <v>689</v>
      </c>
      <c r="D93" s="3" t="e">
        <f>VLOOKUP(B93,'Zipper 7-23'!B:B,1,0)</f>
        <v>#N/A</v>
      </c>
      <c r="E93" s="3" t="s">
        <v>836</v>
      </c>
      <c r="F93" s="3" t="s">
        <v>311</v>
      </c>
    </row>
    <row r="94" spans="1:6" s="3" customFormat="1" x14ac:dyDescent="0.25">
      <c r="A94" s="3" t="s">
        <v>766</v>
      </c>
      <c r="B94" s="3" t="s">
        <v>802</v>
      </c>
      <c r="C94" s="3" t="s">
        <v>689</v>
      </c>
      <c r="D94" s="3" t="e">
        <f>VLOOKUP(B94,'Zipper 7-23'!B:B,1,0)</f>
        <v>#N/A</v>
      </c>
      <c r="E94" s="3" t="s">
        <v>836</v>
      </c>
      <c r="F94" s="3" t="s">
        <v>311</v>
      </c>
    </row>
    <row r="95" spans="1:6" s="3" customFormat="1" x14ac:dyDescent="0.25">
      <c r="A95" s="3" t="s">
        <v>767</v>
      </c>
      <c r="B95" s="3" t="s">
        <v>807</v>
      </c>
      <c r="C95" s="3" t="s">
        <v>689</v>
      </c>
      <c r="D95" s="3" t="e">
        <f>VLOOKUP(B95,'Zipper 7-23'!B:B,1,0)</f>
        <v>#N/A</v>
      </c>
      <c r="E95" s="3" t="s">
        <v>836</v>
      </c>
      <c r="F95" s="3" t="s">
        <v>311</v>
      </c>
    </row>
    <row r="96" spans="1:6" s="3" customFormat="1" x14ac:dyDescent="0.25">
      <c r="A96" s="3" t="s">
        <v>768</v>
      </c>
      <c r="B96" s="3" t="s">
        <v>817</v>
      </c>
      <c r="C96" s="3" t="s">
        <v>689</v>
      </c>
      <c r="D96" s="3" t="e">
        <f>VLOOKUP(B96,'Zipper 7-23'!B:B,1,0)</f>
        <v>#N/A</v>
      </c>
      <c r="E96" s="3" t="s">
        <v>836</v>
      </c>
      <c r="F96" s="3" t="s">
        <v>311</v>
      </c>
    </row>
    <row r="97" spans="1:6" s="3" customFormat="1" x14ac:dyDescent="0.25">
      <c r="A97" s="3" t="s">
        <v>769</v>
      </c>
      <c r="B97" s="3" t="s">
        <v>815</v>
      </c>
      <c r="C97" s="3" t="s">
        <v>689</v>
      </c>
      <c r="D97" s="3" t="e">
        <f>VLOOKUP(B97,'Zipper 7-23'!B:B,1,0)</f>
        <v>#N/A</v>
      </c>
      <c r="E97" s="3" t="s">
        <v>836</v>
      </c>
      <c r="F97" s="3" t="s">
        <v>311</v>
      </c>
    </row>
    <row r="98" spans="1:6" s="2" customFormat="1" x14ac:dyDescent="0.25">
      <c r="A98" s="2" t="s">
        <v>54</v>
      </c>
      <c r="B98" s="2" t="s">
        <v>240</v>
      </c>
      <c r="C98" s="2" t="s">
        <v>327</v>
      </c>
      <c r="D98" s="2" t="str">
        <f>VLOOKUP(B98,'Zipper 7-23'!B:B,1,0)</f>
        <v>pfsso.int.thomsonreuters.com</v>
      </c>
    </row>
    <row r="99" spans="1:6" s="2" customFormat="1" x14ac:dyDescent="0.25">
      <c r="A99" s="2" t="s">
        <v>413</v>
      </c>
      <c r="B99" s="2" t="s">
        <v>414</v>
      </c>
      <c r="C99" s="2" t="s">
        <v>403</v>
      </c>
      <c r="D99" s="2" t="str">
        <f>VLOOKUP(B99,'Zipper 7-23'!B:B,1,0)</f>
        <v>eg-hdsadm-a04.int.westgroup.com</v>
      </c>
    </row>
    <row r="100" spans="1:6" s="3" customFormat="1" x14ac:dyDescent="0.25">
      <c r="A100" s="3" t="s">
        <v>770</v>
      </c>
      <c r="B100" s="3" t="s">
        <v>831</v>
      </c>
      <c r="C100" s="3" t="s">
        <v>686</v>
      </c>
      <c r="D100" s="3" t="e">
        <f>VLOOKUP(B100,'Zipper 7-23'!B:B,1,0)</f>
        <v>#N/A</v>
      </c>
    </row>
    <row r="101" spans="1:6" s="3" customFormat="1" x14ac:dyDescent="0.25">
      <c r="A101" s="3" t="s">
        <v>771</v>
      </c>
      <c r="B101" s="3" t="s">
        <v>832</v>
      </c>
      <c r="C101" s="3" t="s">
        <v>686</v>
      </c>
      <c r="D101" s="3" t="e">
        <f>VLOOKUP(B101,'Zipper 7-23'!B:B,1,0)</f>
        <v>#N/A</v>
      </c>
      <c r="E101" s="3" t="s">
        <v>446</v>
      </c>
      <c r="F101" s="3" t="s">
        <v>311</v>
      </c>
    </row>
    <row r="102" spans="1:6" s="2" customFormat="1" x14ac:dyDescent="0.25">
      <c r="A102" s="2" t="s">
        <v>669</v>
      </c>
      <c r="B102" s="2" t="s">
        <v>670</v>
      </c>
      <c r="C102" s="2" t="s">
        <v>604</v>
      </c>
      <c r="D102" s="2" t="str">
        <f>VLOOKUP(B102,'Zipper 7-23'!B:B,1,0)</f>
        <v>eg-esmsql-a06</v>
      </c>
      <c r="E102" s="2" t="s">
        <v>684</v>
      </c>
      <c r="F102" s="2" t="s">
        <v>840</v>
      </c>
    </row>
  </sheetData>
  <autoFilter ref="A1:F1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C29" activeCellId="1" sqref="B6 C29"/>
    </sheetView>
  </sheetViews>
  <sheetFormatPr defaultRowHeight="15" x14ac:dyDescent="0.25"/>
  <cols>
    <col min="1" max="1" width="22.140625" bestFit="1" customWidth="1"/>
    <col min="2" max="2" width="37.140625" bestFit="1" customWidth="1"/>
    <col min="3" max="3" width="109.5703125" bestFit="1" customWidth="1"/>
    <col min="4" max="4" width="15.28515625" customWidth="1"/>
    <col min="5" max="5" width="14.85546875" hidden="1" customWidth="1"/>
    <col min="6" max="6" width="28.140625" bestFit="1" customWidth="1"/>
    <col min="7" max="7" width="12.42578125" bestFit="1" customWidth="1"/>
  </cols>
  <sheetData>
    <row r="1" spans="1:7" x14ac:dyDescent="0.25">
      <c r="A1" s="5" t="s">
        <v>331</v>
      </c>
      <c r="B1" s="5" t="s">
        <v>56</v>
      </c>
      <c r="C1" s="5" t="s">
        <v>332</v>
      </c>
      <c r="D1" s="5" t="s">
        <v>866</v>
      </c>
      <c r="E1" s="5" t="s">
        <v>325</v>
      </c>
      <c r="F1" s="5" t="s">
        <v>60</v>
      </c>
      <c r="G1" s="5" t="s">
        <v>396</v>
      </c>
    </row>
    <row r="2" spans="1:7" s="3" customFormat="1" x14ac:dyDescent="0.25">
      <c r="A2" s="3" t="s">
        <v>844</v>
      </c>
      <c r="B2" s="3" t="s">
        <v>845</v>
      </c>
      <c r="C2" s="3" t="s">
        <v>841</v>
      </c>
      <c r="E2" s="3" t="e">
        <f>VLOOKUP(A2,'Zipper 7-30'!A:A,1,0)</f>
        <v>#N/A</v>
      </c>
      <c r="G2" s="3" t="s">
        <v>311</v>
      </c>
    </row>
    <row r="3" spans="1:7" s="3" customFormat="1" x14ac:dyDescent="0.25">
      <c r="A3" s="3" t="s">
        <v>846</v>
      </c>
      <c r="B3" s="3" t="s">
        <v>847</v>
      </c>
      <c r="C3" s="3" t="s">
        <v>841</v>
      </c>
      <c r="E3" s="3" t="e">
        <f>VLOOKUP(A3,'Zipper 7-30'!A:A,1,0)</f>
        <v>#N/A</v>
      </c>
      <c r="G3" s="3" t="s">
        <v>311</v>
      </c>
    </row>
    <row r="4" spans="1:7" s="2" customFormat="1" x14ac:dyDescent="0.25">
      <c r="A4" s="2" t="s">
        <v>22</v>
      </c>
      <c r="B4" s="2" t="s">
        <v>302</v>
      </c>
      <c r="C4" s="2" t="s">
        <v>333</v>
      </c>
      <c r="E4" s="2" t="str">
        <f>VLOOKUP(A4,'Zipper 7-30'!A:A,1,0)</f>
        <v>192.168.250.131</v>
      </c>
      <c r="F4" s="2" t="str">
        <f>VLOOKUP(A4,'Zipper 7-30'!A:F,5,0)</f>
        <v>Contacted ITS-MDS-DIR</v>
      </c>
    </row>
    <row r="5" spans="1:7" s="2" customFormat="1" x14ac:dyDescent="0.25">
      <c r="A5" s="2" t="s">
        <v>2</v>
      </c>
      <c r="B5" s="2" t="s">
        <v>245</v>
      </c>
      <c r="C5" s="2" t="s">
        <v>374</v>
      </c>
      <c r="E5" s="2" t="str">
        <f>VLOOKUP(A5,'Zipper 7-30'!A:A,1,0)</f>
        <v>10.51.0.21</v>
      </c>
      <c r="F5" s="2" t="str">
        <f>VLOOKUP(A5,'Zipper 7-30'!A:F,5,0)</f>
        <v>Windows TCASH</v>
      </c>
      <c r="G5" s="2" t="str">
        <f>VLOOKUP(A5,'Zipper 7-30'!A:F,6,0)</f>
        <v>Chad Brochill</v>
      </c>
    </row>
    <row r="6" spans="1:7" s="2" customFormat="1" x14ac:dyDescent="0.25">
      <c r="A6" s="2" t="s">
        <v>848</v>
      </c>
      <c r="B6" s="2" t="s">
        <v>849</v>
      </c>
      <c r="C6" s="2" t="s">
        <v>841</v>
      </c>
      <c r="D6" s="2" t="s">
        <v>867</v>
      </c>
      <c r="E6" s="2" t="e">
        <f>VLOOKUP(A6,'Zipper 7-30'!A:A,1,0)</f>
        <v>#N/A</v>
      </c>
    </row>
    <row r="7" spans="1:7" s="2" customFormat="1" x14ac:dyDescent="0.25">
      <c r="A7" s="2" t="s">
        <v>850</v>
      </c>
      <c r="B7" s="2" t="s">
        <v>851</v>
      </c>
      <c r="C7" s="2" t="s">
        <v>841</v>
      </c>
      <c r="D7" s="2" t="s">
        <v>868</v>
      </c>
      <c r="E7" s="2" t="e">
        <f>VLOOKUP(A7,'Zipper 7-30'!A:A,1,0)</f>
        <v>#N/A</v>
      </c>
    </row>
    <row r="8" spans="1:7" x14ac:dyDescent="0.25">
      <c r="A8" t="s">
        <v>852</v>
      </c>
      <c r="B8" t="s">
        <v>853</v>
      </c>
      <c r="C8" t="s">
        <v>841</v>
      </c>
      <c r="D8" t="s">
        <v>869</v>
      </c>
      <c r="E8" t="e">
        <f>VLOOKUP(A8,'Zipper 7-30'!A:A,1,0)</f>
        <v>#N/A</v>
      </c>
    </row>
    <row r="9" spans="1:7" x14ac:dyDescent="0.25">
      <c r="A9" t="s">
        <v>854</v>
      </c>
      <c r="B9" t="s">
        <v>855</v>
      </c>
      <c r="C9" t="s">
        <v>841</v>
      </c>
      <c r="D9" t="s">
        <v>870</v>
      </c>
      <c r="E9" t="e">
        <f>VLOOKUP(A9,'Zipper 7-30'!A:A,1,0)</f>
        <v>#N/A</v>
      </c>
    </row>
    <row r="10" spans="1:7" x14ac:dyDescent="0.25">
      <c r="A10" t="s">
        <v>856</v>
      </c>
      <c r="B10" t="s">
        <v>857</v>
      </c>
      <c r="C10" t="s">
        <v>841</v>
      </c>
      <c r="D10" t="s">
        <v>871</v>
      </c>
      <c r="E10" t="e">
        <f>VLOOKUP(A10,'Zipper 7-30'!A:A,1,0)</f>
        <v>#N/A</v>
      </c>
    </row>
    <row r="11" spans="1:7" s="4" customFormat="1" x14ac:dyDescent="0.25">
      <c r="A11" s="4" t="s">
        <v>694</v>
      </c>
      <c r="B11" s="4" t="s">
        <v>776</v>
      </c>
      <c r="C11" s="4" t="s">
        <v>687</v>
      </c>
      <c r="D11" s="4" t="s">
        <v>694</v>
      </c>
      <c r="E11" s="4" t="str">
        <f>VLOOKUP(A11,'Zipper 7-30'!A:A,1,0)</f>
        <v>10.51.7.27</v>
      </c>
      <c r="F11" s="4" t="str">
        <f>VLOOKUP(A11,'Zipper 7-30'!A:F,5,0)</f>
        <v>Mike Schmidt</v>
      </c>
      <c r="G11" s="4" t="str">
        <f>VLOOKUP(A11,'Zipper 7-30'!A:F,6,0)</f>
        <v>No Action Taken</v>
      </c>
    </row>
    <row r="12" spans="1:7" s="4" customFormat="1" x14ac:dyDescent="0.25">
      <c r="A12" s="4" t="s">
        <v>695</v>
      </c>
      <c r="B12" s="4" t="s">
        <v>777</v>
      </c>
      <c r="C12" s="4" t="s">
        <v>687</v>
      </c>
      <c r="D12" s="4" t="s">
        <v>695</v>
      </c>
      <c r="E12" s="4" t="str">
        <f>VLOOKUP(A12,'Zipper 7-30'!A:A,1,0)</f>
        <v>10.51.7.28</v>
      </c>
      <c r="F12" s="4" t="str">
        <f>VLOOKUP(A12,'Zipper 7-30'!A:F,5,0)</f>
        <v>Mike Schmidt</v>
      </c>
      <c r="G12" s="4" t="str">
        <f>VLOOKUP(A12,'Zipper 7-30'!A:F,6,0)</f>
        <v>No Action Taken</v>
      </c>
    </row>
    <row r="13" spans="1:7" s="4" customFormat="1" x14ac:dyDescent="0.25">
      <c r="A13" s="4" t="s">
        <v>696</v>
      </c>
      <c r="B13" s="4" t="s">
        <v>778</v>
      </c>
      <c r="C13" s="4" t="s">
        <v>687</v>
      </c>
      <c r="D13" s="4" t="s">
        <v>696</v>
      </c>
      <c r="E13" s="4" t="str">
        <f>VLOOKUP(A13,'Zipper 7-30'!A:A,1,0)</f>
        <v>10.51.7.29</v>
      </c>
      <c r="F13" s="4" t="str">
        <f>VLOOKUP(A13,'Zipper 7-30'!A:F,5,0)</f>
        <v>Mike Schmidt</v>
      </c>
      <c r="G13" s="4" t="str">
        <f>VLOOKUP(A13,'Zipper 7-30'!A:F,6,0)</f>
        <v>No Action Taken</v>
      </c>
    </row>
    <row r="14" spans="1:7" s="2" customFormat="1" x14ac:dyDescent="0.25">
      <c r="A14" s="2" t="s">
        <v>17</v>
      </c>
      <c r="B14" s="2" t="s">
        <v>285</v>
      </c>
      <c r="C14" s="2" t="s">
        <v>374</v>
      </c>
      <c r="D14" s="2" t="s">
        <v>17</v>
      </c>
      <c r="E14" s="2" t="str">
        <f>VLOOKUP(A14,'Zipper 7-30'!A:A,1,0)</f>
        <v>10.206.19.107</v>
      </c>
      <c r="F14" s="2" t="str">
        <f>VLOOKUP(A14,'Zipper 7-30'!A:F,5,0)</f>
        <v>Windows TCASH</v>
      </c>
      <c r="G14" s="2" t="str">
        <f>VLOOKUP(A14,'Zipper 7-30'!A:F,6,0)</f>
        <v>Chad Brochill</v>
      </c>
    </row>
    <row r="15" spans="1:7" s="3" customFormat="1" x14ac:dyDescent="0.25">
      <c r="A15" s="3" t="s">
        <v>434</v>
      </c>
      <c r="B15" s="3" t="s">
        <v>563</v>
      </c>
      <c r="C15" s="3" t="s">
        <v>424</v>
      </c>
      <c r="E15" s="3" t="str">
        <f>VLOOKUP(A15,'Zipper 7-30'!A:A,1,0)</f>
        <v>10.220.20.141</v>
      </c>
      <c r="F15" s="3" t="str">
        <f>VLOOKUP(A15,'Zipper 7-30'!A:F,5,0)</f>
        <v>Decommission</v>
      </c>
      <c r="G15" s="3" t="str">
        <f>VLOOKUP(A15,'Zipper 7-30'!A:F,6,0)</f>
        <v>Recycled IP</v>
      </c>
    </row>
    <row r="16" spans="1:7" s="3" customFormat="1" x14ac:dyDescent="0.25">
      <c r="A16" s="3" t="s">
        <v>435</v>
      </c>
      <c r="B16" s="3" t="s">
        <v>564</v>
      </c>
      <c r="C16" s="3" t="s">
        <v>424</v>
      </c>
      <c r="E16" s="3" t="str">
        <f>VLOOKUP(A16,'Zipper 7-30'!A:A,1,0)</f>
        <v>10.220.20.142</v>
      </c>
      <c r="F16" s="3" t="str">
        <f>VLOOKUP(A16,'Zipper 7-30'!A:F,5,0)</f>
        <v>Decommission</v>
      </c>
      <c r="G16" s="3" t="str">
        <f>VLOOKUP(A16,'Zipper 7-30'!A:F,6,0)</f>
        <v>Recycled IP</v>
      </c>
    </row>
    <row r="17" spans="1:8" s="3" customFormat="1" x14ac:dyDescent="0.25">
      <c r="A17" s="3" t="s">
        <v>436</v>
      </c>
      <c r="B17" s="3" t="s">
        <v>426</v>
      </c>
      <c r="C17" s="3" t="s">
        <v>424</v>
      </c>
      <c r="E17" s="3" t="str">
        <f>VLOOKUP(A17,'Zipper 7-30'!A:A,1,0)</f>
        <v>10.220.20.143</v>
      </c>
      <c r="F17" s="3" t="str">
        <f>VLOOKUP(A17,'Zipper 7-30'!A:F,5,0)</f>
        <v>Decommission</v>
      </c>
      <c r="G17" s="3" t="str">
        <f>VLOOKUP(A17,'Zipper 7-30'!A:F,6,0)</f>
        <v>Recycled IP</v>
      </c>
    </row>
    <row r="18" spans="1:8" s="3" customFormat="1" x14ac:dyDescent="0.25">
      <c r="A18" s="3" t="s">
        <v>437</v>
      </c>
      <c r="B18" s="3" t="s">
        <v>565</v>
      </c>
      <c r="C18" s="3" t="s">
        <v>424</v>
      </c>
      <c r="E18" s="3" t="str">
        <f>VLOOKUP(A18,'Zipper 7-30'!A:A,1,0)</f>
        <v>10.220.20.144</v>
      </c>
      <c r="F18" s="3" t="str">
        <f>VLOOKUP(A18,'Zipper 7-30'!A:F,5,0)</f>
        <v>Decommission</v>
      </c>
      <c r="G18" s="3" t="str">
        <f>VLOOKUP(A18,'Zipper 7-30'!A:F,6,0)</f>
        <v>Recycled IP</v>
      </c>
    </row>
    <row r="19" spans="1:8" x14ac:dyDescent="0.25">
      <c r="A19" t="s">
        <v>858</v>
      </c>
      <c r="B19" t="s">
        <v>859</v>
      </c>
      <c r="C19" t="s">
        <v>841</v>
      </c>
      <c r="E19" t="e">
        <f>VLOOKUP(A19,'Zipper 7-30'!A:A,1,0)</f>
        <v>#N/A</v>
      </c>
    </row>
    <row r="20" spans="1:8" x14ac:dyDescent="0.25">
      <c r="A20" t="s">
        <v>567</v>
      </c>
      <c r="B20" t="s">
        <v>860</v>
      </c>
      <c r="C20" t="s">
        <v>842</v>
      </c>
      <c r="E20" t="str">
        <f>VLOOKUP(A20,'Zipper 7-30'!A:A,1,0)</f>
        <v>10.51.1.10</v>
      </c>
      <c r="F20" t="str">
        <f>VLOOKUP(A20,'Zipper 7-30'!A:F,5,0)</f>
        <v>No Information within Banana</v>
      </c>
      <c r="G20" t="str">
        <f>VLOOKUP(A20,'Zipper 7-30'!A:F,6,0)</f>
        <v>Modified Banana record</v>
      </c>
    </row>
    <row r="21" spans="1:8" s="3" customFormat="1" x14ac:dyDescent="0.25">
      <c r="A21" s="3" t="s">
        <v>569</v>
      </c>
      <c r="B21" s="3" t="s">
        <v>544</v>
      </c>
      <c r="C21" s="3" t="s">
        <v>537</v>
      </c>
      <c r="D21" s="3" t="s">
        <v>872</v>
      </c>
      <c r="E21" s="3" t="str">
        <f>VLOOKUP(A21,'Zipper 7-30'!A:A,1,0)</f>
        <v>10.51.8.80</v>
      </c>
      <c r="F21" s="3" t="str">
        <f>VLOOKUP(A21,'Zipper 7-30'!A:F,5,0)</f>
        <v>Server Moved - New IP</v>
      </c>
      <c r="G21" s="3" t="str">
        <f>VLOOKUP(A21,'Zipper 7-30'!A:F,6,0)</f>
        <v>Recycled IP</v>
      </c>
    </row>
    <row r="22" spans="1:8" s="3" customFormat="1" x14ac:dyDescent="0.25">
      <c r="A22" s="3" t="s">
        <v>644</v>
      </c>
      <c r="B22" s="3" t="s">
        <v>645</v>
      </c>
      <c r="C22" s="3" t="s">
        <v>601</v>
      </c>
      <c r="D22" s="3" t="s">
        <v>873</v>
      </c>
      <c r="E22" s="3" t="str">
        <f>VLOOKUP(A22,'Zipper 7-30'!A:A,1,0)</f>
        <v>10.52.142.55</v>
      </c>
      <c r="F22" s="3" t="str">
        <f>VLOOKUP(A22,'Zipper 7-30'!A:F,5,0)</f>
        <v>Server Moved - New IP</v>
      </c>
      <c r="G22" s="3" t="str">
        <f>VLOOKUP(A22,'Zipper 7-30'!A:F,6,0)</f>
        <v>Recycled IP</v>
      </c>
    </row>
    <row r="23" spans="1:8" x14ac:dyDescent="0.25">
      <c r="A23" t="s">
        <v>861</v>
      </c>
      <c r="B23" t="s">
        <v>862</v>
      </c>
      <c r="C23" t="s">
        <v>843</v>
      </c>
      <c r="D23" t="s">
        <v>861</v>
      </c>
      <c r="E23" t="e">
        <f>VLOOKUP(A23,'Zipper 7-30'!A:A,1,0)</f>
        <v>#N/A</v>
      </c>
    </row>
    <row r="24" spans="1:8" s="2" customFormat="1" x14ac:dyDescent="0.25">
      <c r="A24" s="2" t="s">
        <v>507</v>
      </c>
      <c r="B24" s="2" t="s">
        <v>525</v>
      </c>
      <c r="C24" s="2" t="s">
        <v>496</v>
      </c>
      <c r="D24" s="2" t="s">
        <v>507</v>
      </c>
      <c r="E24" s="2" t="str">
        <f>VLOOKUP(A24,'Zipper 7-30'!A:A,1,0)</f>
        <v>10.206.16.3</v>
      </c>
      <c r="F24" s="2" t="str">
        <f>VLOOKUP(A24,'Zipper 7-30'!A:F,5,0)</f>
        <v>Windows TCASH</v>
      </c>
      <c r="G24" s="2" t="str">
        <f>VLOOKUP(A24,'Zipper 7-30'!A:F,6,0)</f>
        <v>Chad Brochill</v>
      </c>
    </row>
    <row r="25" spans="1:8" s="2" customFormat="1" x14ac:dyDescent="0.25">
      <c r="A25" s="2" t="s">
        <v>647</v>
      </c>
      <c r="B25" s="2" t="s">
        <v>648</v>
      </c>
      <c r="C25" s="2" t="s">
        <v>603</v>
      </c>
      <c r="D25" s="2" t="s">
        <v>647</v>
      </c>
      <c r="E25" s="2" t="str">
        <f>VLOOKUP(A25,'Zipper 7-30'!A:A,1,0)</f>
        <v>10.206.16.20</v>
      </c>
      <c r="F25" s="2" t="str">
        <f>VLOOKUP(A25,'Zipper 7-30'!A:F,5,0)</f>
        <v>Windows TCASH</v>
      </c>
      <c r="G25" s="2" t="str">
        <f>VLOOKUP(A25,'Zipper 7-30'!A:F,6,0)</f>
        <v>Chad Brochill</v>
      </c>
    </row>
    <row r="26" spans="1:8" x14ac:dyDescent="0.25">
      <c r="A26" t="s">
        <v>738</v>
      </c>
      <c r="B26" t="s">
        <v>818</v>
      </c>
      <c r="C26" t="s">
        <v>685</v>
      </c>
      <c r="E26" t="str">
        <f>VLOOKUP(A26,'Zipper 7-30'!A:A,1,0)</f>
        <v>10.206.169.8</v>
      </c>
    </row>
    <row r="27" spans="1:8" x14ac:dyDescent="0.25">
      <c r="A27" t="s">
        <v>739</v>
      </c>
      <c r="B27" t="s">
        <v>819</v>
      </c>
      <c r="C27" t="s">
        <v>685</v>
      </c>
      <c r="E27" t="str">
        <f>VLOOKUP(A27,'Zipper 7-30'!A:A,1,0)</f>
        <v>10.206.169.9</v>
      </c>
    </row>
    <row r="28" spans="1:8" x14ac:dyDescent="0.25">
      <c r="A28" t="s">
        <v>508</v>
      </c>
      <c r="B28" t="s">
        <v>527</v>
      </c>
      <c r="C28" t="s">
        <v>491</v>
      </c>
      <c r="E28" t="str">
        <f>VLOOKUP(A28,'Zipper 7-30'!A:A,1,0)</f>
        <v>10.220.30.41</v>
      </c>
    </row>
    <row r="29" spans="1:8" x14ac:dyDescent="0.25">
      <c r="A29" t="s">
        <v>44</v>
      </c>
      <c r="B29" t="s">
        <v>324</v>
      </c>
      <c r="C29" t="s">
        <v>380</v>
      </c>
      <c r="E29" t="str">
        <f>VLOOKUP(A29,'Zipper 7-30'!A:A,1,0)</f>
        <v>10.225.4.136</v>
      </c>
    </row>
    <row r="30" spans="1:8" s="2" customFormat="1" x14ac:dyDescent="0.25">
      <c r="A30" s="2" t="s">
        <v>509</v>
      </c>
      <c r="B30" s="2" t="s">
        <v>528</v>
      </c>
      <c r="C30" s="2" t="s">
        <v>497</v>
      </c>
      <c r="D30" s="2" t="s">
        <v>509</v>
      </c>
      <c r="E30" s="2" t="str">
        <f>VLOOKUP(A30,'Zipper 7-30'!A:A,1,0)</f>
        <v>10.226.50.178</v>
      </c>
      <c r="F30" s="2" t="str">
        <f>VLOOKUP(A30,'Zipper 7-30'!A:F,5,0)</f>
        <v>Windows TCASH</v>
      </c>
      <c r="G30" s="2" t="str">
        <f>VLOOKUP(A30,'Zipper 7-30'!A:F,6,0)</f>
        <v>Chad Brochill</v>
      </c>
    </row>
    <row r="31" spans="1:8" s="2" customFormat="1" x14ac:dyDescent="0.25">
      <c r="A31" s="2" t="s">
        <v>510</v>
      </c>
      <c r="B31" s="2" t="s">
        <v>529</v>
      </c>
      <c r="C31" s="2" t="s">
        <v>497</v>
      </c>
      <c r="D31" s="2" t="s">
        <v>510</v>
      </c>
      <c r="E31" s="2" t="str">
        <f>VLOOKUP(A31,'Zipper 7-30'!A:A,1,0)</f>
        <v>10.226.50.179</v>
      </c>
      <c r="F31" s="2" t="str">
        <f>VLOOKUP(A31,'Zipper 7-30'!A:F,5,0)</f>
        <v>Windows TCASH</v>
      </c>
      <c r="G31" s="2" t="str">
        <f>VLOOKUP(A31,'Zipper 7-30'!A:F,6,0)</f>
        <v>Chad Brochill</v>
      </c>
    </row>
    <row r="32" spans="1:8" s="3" customFormat="1" x14ac:dyDescent="0.25">
      <c r="A32" s="3" t="s">
        <v>762</v>
      </c>
      <c r="B32" s="3" t="s">
        <v>814</v>
      </c>
      <c r="C32" s="3" t="s">
        <v>689</v>
      </c>
      <c r="D32" s="3" t="s">
        <v>874</v>
      </c>
      <c r="E32" s="3" t="str">
        <f>VLOOKUP(A32,'Zipper 7-30'!A:A,1,0)</f>
        <v>163.231.31.48</v>
      </c>
      <c r="F32" s="3" t="str">
        <f>VLOOKUP(A32,'Zipper 7-30'!A:F,5,0)</f>
        <v>Server Moved - New IP</v>
      </c>
      <c r="G32" s="3" t="s">
        <v>863</v>
      </c>
      <c r="H32" s="3" t="s">
        <v>311</v>
      </c>
    </row>
    <row r="33" spans="1:8" s="2" customFormat="1" x14ac:dyDescent="0.25">
      <c r="A33" s="2" t="s">
        <v>54</v>
      </c>
      <c r="B33" s="2" t="s">
        <v>240</v>
      </c>
      <c r="C33" s="2" t="s">
        <v>327</v>
      </c>
      <c r="E33" s="2" t="str">
        <f>VLOOKUP(A33,'Zipper 7-30'!A:A,1,0)</f>
        <v>163.231.83.217</v>
      </c>
    </row>
    <row r="34" spans="1:8" s="2" customFormat="1" x14ac:dyDescent="0.25">
      <c r="A34" s="2" t="s">
        <v>413</v>
      </c>
      <c r="B34" s="2" t="s">
        <v>414</v>
      </c>
      <c r="C34" s="2" t="s">
        <v>403</v>
      </c>
      <c r="E34" s="2" t="str">
        <f>VLOOKUP(A34,'Zipper 7-30'!A:A,1,0)</f>
        <v>163.231.94.89</v>
      </c>
    </row>
    <row r="35" spans="1:8" s="2" customFormat="1" x14ac:dyDescent="0.25">
      <c r="A35" s="2" t="s">
        <v>669</v>
      </c>
      <c r="B35" s="2" t="s">
        <v>670</v>
      </c>
      <c r="C35" s="2" t="s">
        <v>604</v>
      </c>
      <c r="E35" s="2" t="str">
        <f>VLOOKUP(A35,'Zipper 7-30'!A:A,1,0)</f>
        <v>167.68.251.27</v>
      </c>
      <c r="F35" s="2" t="str">
        <f>VLOOKUP(A35,'Zipper 7-30'!A:F,5,0)</f>
        <v>EMAT</v>
      </c>
      <c r="G35" s="2" t="s">
        <v>864</v>
      </c>
      <c r="H35" s="2" t="s">
        <v>865</v>
      </c>
    </row>
  </sheetData>
  <autoFilter ref="A1:H35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22.140625" bestFit="1" customWidth="1"/>
    <col min="2" max="2" width="33" bestFit="1" customWidth="1"/>
    <col min="3" max="3" width="79.85546875" bestFit="1" customWidth="1"/>
    <col min="4" max="4" width="14.42578125" bestFit="1" customWidth="1"/>
    <col min="5" max="5" width="32.5703125" bestFit="1" customWidth="1"/>
    <col min="6" max="6" width="16.42578125" bestFit="1" customWidth="1"/>
    <col min="7" max="7" width="28.42578125" bestFit="1" customWidth="1"/>
  </cols>
  <sheetData>
    <row r="1" spans="1:7" x14ac:dyDescent="0.25">
      <c r="A1" s="5" t="s">
        <v>331</v>
      </c>
      <c r="B1" s="5" t="s">
        <v>56</v>
      </c>
      <c r="C1" s="5" t="s">
        <v>332</v>
      </c>
      <c r="D1" s="5" t="s">
        <v>866</v>
      </c>
      <c r="E1" s="5" t="s">
        <v>325</v>
      </c>
      <c r="F1" s="5" t="s">
        <v>60</v>
      </c>
      <c r="G1" s="5" t="s">
        <v>396</v>
      </c>
    </row>
    <row r="2" spans="1:7" s="2" customFormat="1" x14ac:dyDescent="0.25">
      <c r="A2" s="2" t="s">
        <v>22</v>
      </c>
      <c r="B2" s="2" t="s">
        <v>302</v>
      </c>
      <c r="C2" s="2" t="s">
        <v>333</v>
      </c>
      <c r="E2" s="2" t="str">
        <f>VLOOKUP(A2,'Zipper 8-6'!A:B,2,0)</f>
        <v>aujpjptokdaiwcp-a01.tfn.com</v>
      </c>
      <c r="G2" s="2">
        <f>VLOOKUP(A2,'Zipper 8-6'!2:35,7,0)</f>
        <v>0</v>
      </c>
    </row>
    <row r="3" spans="1:7" s="2" customFormat="1" x14ac:dyDescent="0.25">
      <c r="A3" s="2" t="s">
        <v>2</v>
      </c>
      <c r="B3" s="2" t="s">
        <v>245</v>
      </c>
      <c r="C3" s="2" t="s">
        <v>374</v>
      </c>
      <c r="E3" s="2" t="str">
        <f>VLOOKUP(A3,'Zipper 8-6'!A:B,2,0)</f>
        <v>pvdr.int.thomsonreuters.com</v>
      </c>
      <c r="G3" s="2" t="str">
        <f>VLOOKUP(A3,'Zipper 8-6'!3:36,7,0)</f>
        <v>Chad Brochill</v>
      </c>
    </row>
    <row r="4" spans="1:7" s="3" customFormat="1" x14ac:dyDescent="0.25">
      <c r="A4" s="3" t="s">
        <v>848</v>
      </c>
      <c r="B4" s="3" t="s">
        <v>849</v>
      </c>
      <c r="C4" s="3" t="s">
        <v>841</v>
      </c>
      <c r="D4" s="3" t="s">
        <v>867</v>
      </c>
      <c r="E4" s="3" t="str">
        <f>VLOOKUP(A4,'Zipper 8-6'!A:B,2,0)</f>
        <v>c958gactfws04</v>
      </c>
      <c r="F4" s="3" t="s">
        <v>594</v>
      </c>
      <c r="G4" s="3" t="s">
        <v>311</v>
      </c>
    </row>
    <row r="5" spans="1:7" s="3" customFormat="1" x14ac:dyDescent="0.25">
      <c r="A5" s="3" t="s">
        <v>850</v>
      </c>
      <c r="B5" s="3" t="s">
        <v>851</v>
      </c>
      <c r="C5" s="3" t="s">
        <v>841</v>
      </c>
      <c r="D5" s="3" t="s">
        <v>868</v>
      </c>
      <c r="E5" s="3" t="str">
        <f>VLOOKUP(A5,'Zipper 8-6'!A:B,2,0)</f>
        <v>c323cbytfws03</v>
      </c>
      <c r="F5" s="3" t="s">
        <v>594</v>
      </c>
      <c r="G5" s="3" t="s">
        <v>311</v>
      </c>
    </row>
    <row r="6" spans="1:7" s="3" customFormat="1" x14ac:dyDescent="0.25">
      <c r="A6" s="3" t="s">
        <v>852</v>
      </c>
      <c r="B6" s="3" t="s">
        <v>853</v>
      </c>
      <c r="C6" s="3" t="s">
        <v>841</v>
      </c>
      <c r="D6" s="3" t="s">
        <v>869</v>
      </c>
      <c r="E6" s="3" t="str">
        <f>VLOOKUP(A6,'Zipper 8-6'!A:B,2,0)</f>
        <v>c801ueqtfau04</v>
      </c>
      <c r="F6" s="3" t="s">
        <v>594</v>
      </c>
      <c r="G6" s="3" t="s">
        <v>311</v>
      </c>
    </row>
    <row r="7" spans="1:7" s="3" customFormat="1" x14ac:dyDescent="0.25">
      <c r="A7" s="3" t="s">
        <v>854</v>
      </c>
      <c r="B7" s="3" t="s">
        <v>855</v>
      </c>
      <c r="C7" s="3" t="s">
        <v>841</v>
      </c>
      <c r="D7" s="3" t="s">
        <v>870</v>
      </c>
      <c r="E7" s="3" t="str">
        <f>VLOOKUP(A7,'Zipper 8-6'!A:B,2,0)</f>
        <v>c673mkgtfau03</v>
      </c>
      <c r="F7" s="3" t="s">
        <v>594</v>
      </c>
      <c r="G7" s="3" t="s">
        <v>311</v>
      </c>
    </row>
    <row r="8" spans="1:7" s="3" customFormat="1" x14ac:dyDescent="0.25">
      <c r="A8" s="3" t="s">
        <v>856</v>
      </c>
      <c r="B8" s="3" t="s">
        <v>857</v>
      </c>
      <c r="C8" s="3" t="s">
        <v>841</v>
      </c>
      <c r="D8" s="3" t="s">
        <v>871</v>
      </c>
      <c r="E8" s="3" t="str">
        <f>VLOOKUP(A8,'Zipper 8-6'!A:B,2,0)</f>
        <v>C595AGPMSQL03</v>
      </c>
      <c r="F8" s="3" t="s">
        <v>594</v>
      </c>
      <c r="G8" s="3" t="s">
        <v>311</v>
      </c>
    </row>
    <row r="9" spans="1:7" s="4" customFormat="1" x14ac:dyDescent="0.25">
      <c r="A9" s="4" t="s">
        <v>878</v>
      </c>
      <c r="B9" s="4" t="s">
        <v>881</v>
      </c>
      <c r="C9" s="4" t="s">
        <v>875</v>
      </c>
      <c r="E9" s="4" t="e">
        <f>VLOOKUP(A9,'Zipper 8-6'!A:B,2,0)</f>
        <v>#N/A</v>
      </c>
    </row>
    <row r="10" spans="1:7" s="4" customFormat="1" x14ac:dyDescent="0.25">
      <c r="A10" s="4" t="s">
        <v>879</v>
      </c>
      <c r="B10" s="4" t="s">
        <v>882</v>
      </c>
      <c r="C10" s="4" t="s">
        <v>875</v>
      </c>
      <c r="E10" s="4" t="e">
        <f>VLOOKUP(A10,'Zipper 8-6'!A:B,2,0)</f>
        <v>#N/A</v>
      </c>
    </row>
    <row r="11" spans="1:7" s="2" customFormat="1" x14ac:dyDescent="0.25">
      <c r="A11" s="2" t="s">
        <v>17</v>
      </c>
      <c r="B11" s="2" t="s">
        <v>285</v>
      </c>
      <c r="C11" s="2" t="s">
        <v>374</v>
      </c>
      <c r="D11" s="2" t="s">
        <v>17</v>
      </c>
      <c r="E11" s="2" t="str">
        <f>VLOOKUP(A11,'Zipper 8-6'!A:B,2,0)</f>
        <v>pvcluster.int.thomsonreuters.com</v>
      </c>
      <c r="G11" s="2" t="str">
        <f>VLOOKUP(A11,'Zipper 8-6'!11:44,7,0)</f>
        <v>Chad Brochill</v>
      </c>
    </row>
    <row r="12" spans="1:7" s="3" customFormat="1" x14ac:dyDescent="0.25">
      <c r="A12" s="3" t="s">
        <v>434</v>
      </c>
      <c r="B12" s="3" t="s">
        <v>563</v>
      </c>
      <c r="C12" s="3" t="s">
        <v>424</v>
      </c>
      <c r="E12" s="3" t="str">
        <f>VLOOKUP(A12,'Zipper 8-6'!A:B,2,0)</f>
        <v>Eg-Eltvmdv-B12</v>
      </c>
      <c r="G12" s="3" t="str">
        <f>VLOOKUP(A12,'Zipper 8-6'!12:45,7,0)</f>
        <v>Recycled IP</v>
      </c>
    </row>
    <row r="13" spans="1:7" s="3" customFormat="1" x14ac:dyDescent="0.25">
      <c r="A13" s="3" t="s">
        <v>435</v>
      </c>
      <c r="B13" s="3" t="s">
        <v>564</v>
      </c>
      <c r="C13" s="3" t="s">
        <v>424</v>
      </c>
      <c r="E13" s="3" t="str">
        <f>VLOOKUP(A13,'Zipper 8-6'!A:B,2,0)</f>
        <v>eg-eltvmdv-b13</v>
      </c>
      <c r="G13" s="3" t="str">
        <f>VLOOKUP(A13,'Zipper 8-6'!13:46,7,0)</f>
        <v>Recycled IP</v>
      </c>
    </row>
    <row r="14" spans="1:7" s="3" customFormat="1" x14ac:dyDescent="0.25">
      <c r="A14" s="3" t="s">
        <v>436</v>
      </c>
      <c r="B14" s="3" t="s">
        <v>426</v>
      </c>
      <c r="C14" s="3" t="s">
        <v>424</v>
      </c>
      <c r="E14" s="3" t="str">
        <f>VLOOKUP(A14,'Zipper 8-6'!A:B,2,0)</f>
        <v>eg-eltvmdv-b14</v>
      </c>
      <c r="G14" s="3" t="str">
        <f>VLOOKUP(A14,'Zipper 8-6'!14:47,7,0)</f>
        <v>Recycled IP</v>
      </c>
    </row>
    <row r="15" spans="1:7" s="3" customFormat="1" x14ac:dyDescent="0.25">
      <c r="A15" s="3" t="s">
        <v>437</v>
      </c>
      <c r="B15" s="3" t="s">
        <v>565</v>
      </c>
      <c r="C15" s="3" t="s">
        <v>424</v>
      </c>
      <c r="E15" s="3" t="str">
        <f>VLOOKUP(A15,'Zipper 8-6'!A:B,2,0)</f>
        <v>Eg-Eltvmdv-B15</v>
      </c>
      <c r="G15" s="3" t="str">
        <f>VLOOKUP(A15,'Zipper 8-6'!15:48,7,0)</f>
        <v>Recycled IP</v>
      </c>
    </row>
    <row r="16" spans="1:7" s="3" customFormat="1" x14ac:dyDescent="0.25">
      <c r="A16" s="3" t="s">
        <v>858</v>
      </c>
      <c r="B16" s="3" t="s">
        <v>859</v>
      </c>
      <c r="C16" s="3" t="s">
        <v>841</v>
      </c>
      <c r="E16" s="3" t="str">
        <f>VLOOKUP(A16,'Zipper 8-6'!A:B,2,0)</f>
        <v>EG-CPMSQL-B02</v>
      </c>
      <c r="F16" s="3" t="s">
        <v>85</v>
      </c>
      <c r="G16" s="3" t="s">
        <v>311</v>
      </c>
    </row>
    <row r="17" spans="1:7" s="2" customFormat="1" x14ac:dyDescent="0.25">
      <c r="A17" s="2" t="s">
        <v>507</v>
      </c>
      <c r="B17" s="2" t="s">
        <v>525</v>
      </c>
      <c r="C17" s="2" t="s">
        <v>496</v>
      </c>
      <c r="D17" s="2" t="s">
        <v>507</v>
      </c>
      <c r="E17" s="2" t="str">
        <f>VLOOKUP(A17,'Zipper 8-6'!A:B,2,0)</f>
        <v>powerapp.int.westgroup.com</v>
      </c>
      <c r="G17" s="2" t="str">
        <f>VLOOKUP(A17,'Zipper 8-6'!17:50,7,0)</f>
        <v>Chad Brochill</v>
      </c>
    </row>
    <row r="18" spans="1:7" s="2" customFormat="1" x14ac:dyDescent="0.25">
      <c r="A18" s="2" t="s">
        <v>647</v>
      </c>
      <c r="B18" s="2" t="s">
        <v>648</v>
      </c>
      <c r="C18" s="2" t="s">
        <v>603</v>
      </c>
      <c r="D18" s="2" t="s">
        <v>647</v>
      </c>
      <c r="E18" s="2" t="str">
        <f>VLOOKUP(A18,'Zipper 8-6'!A:B,2,0)</f>
        <v>rsgprod-test.int.westgroup.com</v>
      </c>
      <c r="G18" s="2" t="str">
        <f>VLOOKUP(A18,'Zipper 8-6'!18:51,7,0)</f>
        <v>Chad Brochill</v>
      </c>
    </row>
    <row r="19" spans="1:7" s="3" customFormat="1" x14ac:dyDescent="0.25">
      <c r="A19" s="3" t="s">
        <v>738</v>
      </c>
      <c r="B19" s="3" t="s">
        <v>818</v>
      </c>
      <c r="C19" s="3" t="s">
        <v>685</v>
      </c>
      <c r="E19" s="3" t="str">
        <f>VLOOKUP(A19,'Zipper 8-6'!A:B,2,0)</f>
        <v>N-C111CQUPMBS01</v>
      </c>
      <c r="F19" s="3" t="s">
        <v>85</v>
      </c>
      <c r="G19" s="3" t="s">
        <v>311</v>
      </c>
    </row>
    <row r="20" spans="1:7" s="3" customFormat="1" x14ac:dyDescent="0.25">
      <c r="A20" s="3" t="s">
        <v>739</v>
      </c>
      <c r="B20" s="3" t="s">
        <v>819</v>
      </c>
      <c r="C20" s="3" t="s">
        <v>685</v>
      </c>
      <c r="E20" s="3" t="str">
        <f>VLOOKUP(A20,'Zipper 8-6'!A:B,2,0)</f>
        <v>N-C111JSRPMBS02</v>
      </c>
      <c r="F20" s="3" t="s">
        <v>85</v>
      </c>
      <c r="G20" s="3" t="s">
        <v>311</v>
      </c>
    </row>
    <row r="21" spans="1:7" s="3" customFormat="1" x14ac:dyDescent="0.25">
      <c r="A21" s="3" t="s">
        <v>880</v>
      </c>
      <c r="B21" s="3" t="s">
        <v>883</v>
      </c>
      <c r="C21" s="3" t="s">
        <v>876</v>
      </c>
      <c r="E21" s="3" t="e">
        <f>VLOOKUP(A21,'Zipper 8-6'!A:B,2,0)</f>
        <v>#N/A</v>
      </c>
      <c r="F21" s="3" t="s">
        <v>85</v>
      </c>
      <c r="G21" s="3" t="s">
        <v>311</v>
      </c>
    </row>
    <row r="22" spans="1:7" s="3" customFormat="1" x14ac:dyDescent="0.25">
      <c r="A22" s="3" t="s">
        <v>508</v>
      </c>
      <c r="B22" s="3" t="s">
        <v>884</v>
      </c>
      <c r="C22" s="3" t="s">
        <v>877</v>
      </c>
      <c r="D22" s="3" t="s">
        <v>508</v>
      </c>
      <c r="E22" s="3" t="str">
        <f>VLOOKUP(A22,'Zipper 8-6'!A:B,2,0)</f>
        <v>EG-SIRLBQ-B02C</v>
      </c>
      <c r="G22" s="3" t="s">
        <v>885</v>
      </c>
    </row>
    <row r="23" spans="1:7" s="3" customFormat="1" x14ac:dyDescent="0.25">
      <c r="A23" s="3" t="s">
        <v>44</v>
      </c>
      <c r="B23" s="3" t="s">
        <v>324</v>
      </c>
      <c r="C23" s="3" t="s">
        <v>380</v>
      </c>
      <c r="E23" s="3" t="str">
        <f>VLOOKUP(A23,'Zipper 8-6'!A:B,2,0)</f>
        <v>tss1vdev0104</v>
      </c>
      <c r="F23" s="3" t="s">
        <v>85</v>
      </c>
      <c r="G23" s="3" t="s">
        <v>311</v>
      </c>
    </row>
    <row r="24" spans="1:7" s="2" customFormat="1" x14ac:dyDescent="0.25">
      <c r="A24" s="2" t="s">
        <v>509</v>
      </c>
      <c r="B24" s="2" t="s">
        <v>528</v>
      </c>
      <c r="C24" s="2" t="s">
        <v>497</v>
      </c>
      <c r="D24" s="2" t="s">
        <v>509</v>
      </c>
      <c r="E24" s="2" t="str">
        <f>VLOOKUP(A24,'Zipper 8-6'!A:B,2,0)</f>
        <v>boardlinkservices-qa.accelus.eu</v>
      </c>
      <c r="G24" s="2" t="str">
        <f>VLOOKUP(A24,'Zipper 8-6'!24:57,7,0)</f>
        <v>Chad Brochill</v>
      </c>
    </row>
    <row r="25" spans="1:7" s="2" customFormat="1" x14ac:dyDescent="0.25">
      <c r="A25" s="2" t="s">
        <v>510</v>
      </c>
      <c r="B25" s="2" t="s">
        <v>529</v>
      </c>
      <c r="C25" s="2" t="s">
        <v>497</v>
      </c>
      <c r="D25" s="2" t="s">
        <v>510</v>
      </c>
      <c r="E25" s="2" t="str">
        <f>VLOOKUP(A25,'Zipper 8-6'!A:B,2,0)</f>
        <v>boardlinkdav-qa.accelus.eu</v>
      </c>
      <c r="G25" s="2" t="str">
        <f>VLOOKUP(A25,'Zipper 8-6'!25:58,7,0)</f>
        <v>Chad Brochill</v>
      </c>
    </row>
    <row r="26" spans="1:7" s="2" customFormat="1" x14ac:dyDescent="0.25">
      <c r="A26" s="2" t="s">
        <v>54</v>
      </c>
      <c r="B26" s="2" t="s">
        <v>240</v>
      </c>
      <c r="C26" s="2" t="s">
        <v>327</v>
      </c>
      <c r="E26" s="2" t="str">
        <f>VLOOKUP(A26,'Zipper 8-6'!A:B,2,0)</f>
        <v>pfsso.int.thomsonreuters.com</v>
      </c>
      <c r="G26" s="2">
        <f>VLOOKUP(A26,'Zipper 8-6'!26:59,7,0)</f>
        <v>0</v>
      </c>
    </row>
    <row r="27" spans="1:7" s="3" customFormat="1" x14ac:dyDescent="0.25">
      <c r="A27" s="3" t="s">
        <v>413</v>
      </c>
      <c r="B27" s="3" t="s">
        <v>886</v>
      </c>
      <c r="C27" s="3" t="s">
        <v>403</v>
      </c>
      <c r="E27" s="3" t="str">
        <f>VLOOKUP(A27,'Zipper 8-6'!A:B,2,0)</f>
        <v>eg-hdsadm-a04.int.westgroup.com</v>
      </c>
    </row>
    <row r="28" spans="1:7" s="2" customFormat="1" x14ac:dyDescent="0.25">
      <c r="A28" s="2" t="s">
        <v>669</v>
      </c>
      <c r="B28" s="2" t="s">
        <v>670</v>
      </c>
      <c r="C28" s="2" t="s">
        <v>604</v>
      </c>
      <c r="E28" s="2" t="str">
        <f>VLOOKUP(A28,'Zipper 8-6'!A:B,2,0)</f>
        <v>eg-esmsql-a06</v>
      </c>
      <c r="G28" s="2" t="str">
        <f>VLOOKUP(A28,'Zipper 8-6'!28:61,7,0)</f>
        <v xml:space="preserve">Gerald Basley. </v>
      </c>
    </row>
  </sheetData>
  <autoFilter ref="A1:G1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B1" workbookViewId="0">
      <selection activeCell="F8" sqref="F8"/>
    </sheetView>
  </sheetViews>
  <sheetFormatPr defaultRowHeight="15" x14ac:dyDescent="0.25"/>
  <cols>
    <col min="1" max="1" width="18.28515625" bestFit="1" customWidth="1"/>
    <col min="2" max="2" width="32" bestFit="1" customWidth="1"/>
    <col min="3" max="3" width="80.28515625" bestFit="1" customWidth="1"/>
    <col min="4" max="4" width="32" bestFit="1" customWidth="1"/>
    <col min="5" max="5" width="12.7109375" bestFit="1" customWidth="1"/>
    <col min="6" max="6" width="36.85546875" bestFit="1" customWidth="1"/>
    <col min="7" max="7" width="12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889</v>
      </c>
      <c r="E1" t="s">
        <v>1</v>
      </c>
      <c r="F1" t="s">
        <v>60</v>
      </c>
      <c r="G1" t="s">
        <v>396</v>
      </c>
    </row>
    <row r="2" spans="1:7" s="2" customFormat="1" x14ac:dyDescent="0.25">
      <c r="A2" s="2" t="s">
        <v>897</v>
      </c>
      <c r="B2" s="2" t="s">
        <v>285</v>
      </c>
      <c r="C2" s="2" t="s">
        <v>246</v>
      </c>
      <c r="D2" s="2" t="s">
        <v>285</v>
      </c>
      <c r="E2" s="2" t="s">
        <v>17</v>
      </c>
      <c r="F2" s="2" t="s">
        <v>891</v>
      </c>
      <c r="G2" s="2" t="s">
        <v>891</v>
      </c>
    </row>
    <row r="3" spans="1:7" s="2" customFormat="1" x14ac:dyDescent="0.25">
      <c r="A3" s="2" t="s">
        <v>905</v>
      </c>
      <c r="B3" s="2" t="s">
        <v>525</v>
      </c>
      <c r="C3" s="2" t="s">
        <v>917</v>
      </c>
      <c r="D3" s="2" t="s">
        <v>525</v>
      </c>
      <c r="E3" s="2" t="s">
        <v>507</v>
      </c>
      <c r="F3" s="2" t="s">
        <v>929</v>
      </c>
    </row>
    <row r="4" spans="1:7" s="2" customFormat="1" x14ac:dyDescent="0.25">
      <c r="A4" s="2" t="s">
        <v>906</v>
      </c>
      <c r="B4" s="2" t="s">
        <v>648</v>
      </c>
      <c r="C4" s="2" t="s">
        <v>918</v>
      </c>
      <c r="D4" s="2" t="s">
        <v>648</v>
      </c>
      <c r="E4" s="2" t="s">
        <v>647</v>
      </c>
      <c r="F4" s="2" t="s">
        <v>929</v>
      </c>
      <c r="G4" s="2" t="s">
        <v>891</v>
      </c>
    </row>
    <row r="5" spans="1:7" x14ac:dyDescent="0.25">
      <c r="A5" t="s">
        <v>909</v>
      </c>
      <c r="B5" t="s">
        <v>528</v>
      </c>
      <c r="C5" t="s">
        <v>920</v>
      </c>
      <c r="D5" t="s">
        <v>528</v>
      </c>
      <c r="E5" t="s">
        <v>509</v>
      </c>
      <c r="F5" t="s">
        <v>891</v>
      </c>
      <c r="G5" t="s">
        <v>891</v>
      </c>
    </row>
    <row r="6" spans="1:7" x14ac:dyDescent="0.25">
      <c r="A6" t="s">
        <v>910</v>
      </c>
      <c r="B6" t="s">
        <v>529</v>
      </c>
      <c r="C6" t="s">
        <v>920</v>
      </c>
      <c r="D6" t="s">
        <v>529</v>
      </c>
      <c r="E6" t="s">
        <v>510</v>
      </c>
      <c r="F6" t="s">
        <v>891</v>
      </c>
      <c r="G6" t="s">
        <v>891</v>
      </c>
    </row>
    <row r="7" spans="1:7" s="3" customFormat="1" x14ac:dyDescent="0.25">
      <c r="A7" s="3" t="s">
        <v>911</v>
      </c>
      <c r="B7" s="3" t="s">
        <v>240</v>
      </c>
      <c r="C7" s="3" t="s">
        <v>237</v>
      </c>
      <c r="D7" s="3" t="s">
        <v>891</v>
      </c>
      <c r="E7" s="3" t="s">
        <v>891</v>
      </c>
      <c r="F7" s="3" t="s">
        <v>930</v>
      </c>
      <c r="G7" s="3" t="s">
        <v>311</v>
      </c>
    </row>
    <row r="8" spans="1:7" s="3" customFormat="1" x14ac:dyDescent="0.25">
      <c r="A8" s="3" t="s">
        <v>890</v>
      </c>
      <c r="B8" s="3" t="s">
        <v>302</v>
      </c>
      <c r="C8" s="3" t="s">
        <v>300</v>
      </c>
      <c r="D8" s="3" t="s">
        <v>891</v>
      </c>
      <c r="E8" s="3" t="s">
        <v>891</v>
      </c>
      <c r="G8" s="3" t="s">
        <v>311</v>
      </c>
    </row>
    <row r="9" spans="1:7" s="3" customFormat="1" x14ac:dyDescent="0.25">
      <c r="A9" s="3" t="s">
        <v>892</v>
      </c>
      <c r="B9" s="3" t="s">
        <v>245</v>
      </c>
      <c r="C9" s="3" t="s">
        <v>246</v>
      </c>
      <c r="D9" s="3" t="s">
        <v>891</v>
      </c>
      <c r="E9" s="3" t="s">
        <v>891</v>
      </c>
      <c r="F9" s="3" t="s">
        <v>927</v>
      </c>
      <c r="G9" s="3" t="s">
        <v>928</v>
      </c>
    </row>
    <row r="10" spans="1:7" s="3" customFormat="1" x14ac:dyDescent="0.25">
      <c r="A10" s="3" t="s">
        <v>893</v>
      </c>
      <c r="B10" s="3" t="s">
        <v>894</v>
      </c>
      <c r="C10" s="3" t="s">
        <v>914</v>
      </c>
      <c r="D10" s="3" t="s">
        <v>894</v>
      </c>
      <c r="E10" s="3" t="s">
        <v>878</v>
      </c>
      <c r="F10" s="3" t="s">
        <v>923</v>
      </c>
      <c r="G10" s="3" t="s">
        <v>924</v>
      </c>
    </row>
    <row r="11" spans="1:7" s="3" customFormat="1" x14ac:dyDescent="0.25">
      <c r="A11" s="3" t="s">
        <v>895</v>
      </c>
      <c r="B11" s="3" t="s">
        <v>896</v>
      </c>
      <c r="C11" s="3" t="s">
        <v>914</v>
      </c>
      <c r="D11" s="3" t="s">
        <v>896</v>
      </c>
      <c r="E11" s="3" t="s">
        <v>879</v>
      </c>
      <c r="F11" s="3" t="s">
        <v>925</v>
      </c>
      <c r="G11" s="3" t="s">
        <v>924</v>
      </c>
    </row>
    <row r="12" spans="1:7" s="3" customFormat="1" x14ac:dyDescent="0.25">
      <c r="A12" s="3" t="s">
        <v>898</v>
      </c>
      <c r="B12" s="3" t="s">
        <v>563</v>
      </c>
      <c r="C12" s="3" t="s">
        <v>915</v>
      </c>
      <c r="D12" s="3" t="s">
        <v>891</v>
      </c>
      <c r="E12" s="3" t="s">
        <v>891</v>
      </c>
      <c r="F12" s="3" t="s">
        <v>891</v>
      </c>
      <c r="G12" s="3" t="s">
        <v>891</v>
      </c>
    </row>
    <row r="13" spans="1:7" s="3" customFormat="1" x14ac:dyDescent="0.25">
      <c r="A13" s="3" t="s">
        <v>899</v>
      </c>
      <c r="B13" s="3" t="s">
        <v>564</v>
      </c>
      <c r="C13" s="3" t="s">
        <v>915</v>
      </c>
      <c r="D13" s="3" t="s">
        <v>891</v>
      </c>
      <c r="E13" s="3" t="s">
        <v>891</v>
      </c>
      <c r="F13" s="3" t="s">
        <v>891</v>
      </c>
      <c r="G13" s="3" t="s">
        <v>891</v>
      </c>
    </row>
    <row r="14" spans="1:7" s="3" customFormat="1" x14ac:dyDescent="0.25">
      <c r="A14" s="3" t="s">
        <v>900</v>
      </c>
      <c r="B14" s="3" t="s">
        <v>426</v>
      </c>
      <c r="C14" s="3" t="s">
        <v>915</v>
      </c>
      <c r="D14" s="3" t="s">
        <v>891</v>
      </c>
      <c r="E14" s="3" t="s">
        <v>891</v>
      </c>
      <c r="F14" s="3" t="s">
        <v>891</v>
      </c>
      <c r="G14" s="3" t="s">
        <v>311</v>
      </c>
    </row>
    <row r="15" spans="1:7" s="3" customFormat="1" x14ac:dyDescent="0.25">
      <c r="A15" s="3" t="s">
        <v>901</v>
      </c>
      <c r="B15" s="3" t="s">
        <v>565</v>
      </c>
      <c r="C15" s="3" t="s">
        <v>915</v>
      </c>
      <c r="D15" s="3" t="s">
        <v>891</v>
      </c>
      <c r="E15" s="3" t="s">
        <v>891</v>
      </c>
      <c r="F15" s="3" t="s">
        <v>891</v>
      </c>
      <c r="G15" s="3" t="s">
        <v>311</v>
      </c>
    </row>
    <row r="16" spans="1:7" s="3" customFormat="1" x14ac:dyDescent="0.25">
      <c r="A16" s="3" t="s">
        <v>902</v>
      </c>
      <c r="B16" s="3" t="s">
        <v>903</v>
      </c>
      <c r="C16" s="3" t="s">
        <v>916</v>
      </c>
      <c r="D16" s="3" t="s">
        <v>903</v>
      </c>
      <c r="E16" s="3" t="s">
        <v>904</v>
      </c>
      <c r="F16" s="3" t="s">
        <v>594</v>
      </c>
      <c r="G16" s="3" t="s">
        <v>311</v>
      </c>
    </row>
    <row r="17" spans="1:7" s="3" customFormat="1" x14ac:dyDescent="0.25">
      <c r="A17" s="3" t="s">
        <v>907</v>
      </c>
      <c r="B17" s="3" t="s">
        <v>884</v>
      </c>
      <c r="C17" s="3" t="s">
        <v>919</v>
      </c>
      <c r="D17" s="3" t="s">
        <v>884</v>
      </c>
      <c r="E17" s="3" t="s">
        <v>508</v>
      </c>
      <c r="F17" s="3" t="s">
        <v>891</v>
      </c>
      <c r="G17" s="3" t="s">
        <v>926</v>
      </c>
    </row>
    <row r="18" spans="1:7" s="3" customFormat="1" x14ac:dyDescent="0.25">
      <c r="A18" s="3" t="s">
        <v>908</v>
      </c>
      <c r="B18" s="3" t="s">
        <v>324</v>
      </c>
      <c r="C18" s="3" t="s">
        <v>200</v>
      </c>
      <c r="D18" s="3" t="s">
        <v>891</v>
      </c>
      <c r="E18" s="3" t="s">
        <v>891</v>
      </c>
      <c r="F18" s="3" t="s">
        <v>891</v>
      </c>
      <c r="G18" s="3" t="s">
        <v>311</v>
      </c>
    </row>
    <row r="19" spans="1:7" s="3" customFormat="1" x14ac:dyDescent="0.25">
      <c r="A19" s="3" t="s">
        <v>912</v>
      </c>
      <c r="B19" s="3" t="s">
        <v>886</v>
      </c>
      <c r="C19" s="3" t="s">
        <v>921</v>
      </c>
      <c r="D19" s="3" t="s">
        <v>891</v>
      </c>
      <c r="E19" s="3" t="s">
        <v>891</v>
      </c>
      <c r="F19" s="3" t="s">
        <v>891</v>
      </c>
      <c r="G19" s="3" t="s">
        <v>891</v>
      </c>
    </row>
    <row r="20" spans="1:7" s="3" customFormat="1" x14ac:dyDescent="0.25">
      <c r="A20" s="3" t="s">
        <v>913</v>
      </c>
      <c r="B20" s="3" t="s">
        <v>670</v>
      </c>
      <c r="C20" s="3" t="s">
        <v>922</v>
      </c>
      <c r="D20" s="3" t="s">
        <v>891</v>
      </c>
      <c r="E20" s="3" t="s">
        <v>891</v>
      </c>
      <c r="F20" s="3" t="s">
        <v>891</v>
      </c>
      <c r="G20" s="3" t="s">
        <v>891</v>
      </c>
    </row>
  </sheetData>
  <autoFilter ref="A1:G1">
    <sortState ref="A2:G20">
      <sortCondition sortBy="cellColor" ref="B1" dxfId="2"/>
    </sortState>
  </autoFilter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C21" sqref="C21"/>
    </sheetView>
  </sheetViews>
  <sheetFormatPr defaultRowHeight="15" x14ac:dyDescent="0.25"/>
  <cols>
    <col min="1" max="1" width="16" bestFit="1" customWidth="1"/>
    <col min="2" max="2" width="32" bestFit="1" customWidth="1"/>
    <col min="3" max="3" width="80.28515625" bestFit="1" customWidth="1"/>
    <col min="4" max="4" width="32" bestFit="1" customWidth="1"/>
    <col min="5" max="5" width="12.7109375" bestFit="1" customWidth="1"/>
    <col min="6" max="6" width="19.5703125" bestFit="1" customWidth="1"/>
    <col min="7" max="7" width="12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889</v>
      </c>
      <c r="E1" t="s">
        <v>1</v>
      </c>
      <c r="F1" t="s">
        <v>60</v>
      </c>
      <c r="G1" t="s">
        <v>396</v>
      </c>
    </row>
    <row r="2" spans="1:7" s="3" customFormat="1" x14ac:dyDescent="0.25">
      <c r="A2" s="3" t="s">
        <v>931</v>
      </c>
      <c r="B2" s="3" t="s">
        <v>932</v>
      </c>
      <c r="C2" s="3" t="s">
        <v>933</v>
      </c>
      <c r="D2" s="3" t="s">
        <v>932</v>
      </c>
      <c r="E2" s="3" t="s">
        <v>934</v>
      </c>
      <c r="F2" s="3" t="s">
        <v>594</v>
      </c>
      <c r="G2" s="3" t="s">
        <v>311</v>
      </c>
    </row>
    <row r="3" spans="1:7" s="2" customFormat="1" x14ac:dyDescent="0.25">
      <c r="A3" s="2" t="s">
        <v>897</v>
      </c>
      <c r="B3" s="2" t="s">
        <v>285</v>
      </c>
      <c r="C3" s="2" t="s">
        <v>246</v>
      </c>
      <c r="D3" s="2" t="s">
        <v>285</v>
      </c>
      <c r="E3" s="2" t="s">
        <v>17</v>
      </c>
      <c r="F3" s="2" t="s">
        <v>891</v>
      </c>
      <c r="G3" s="2" t="s">
        <v>891</v>
      </c>
    </row>
    <row r="4" spans="1:7" s="3" customFormat="1" x14ac:dyDescent="0.25">
      <c r="A4" s="3" t="s">
        <v>898</v>
      </c>
      <c r="B4" s="3" t="s">
        <v>563</v>
      </c>
      <c r="C4" s="3" t="s">
        <v>915</v>
      </c>
      <c r="D4" s="3" t="s">
        <v>891</v>
      </c>
      <c r="E4" s="3" t="s">
        <v>891</v>
      </c>
      <c r="F4" s="3" t="s">
        <v>891</v>
      </c>
      <c r="G4" s="3" t="s">
        <v>891</v>
      </c>
    </row>
    <row r="5" spans="1:7" s="3" customFormat="1" x14ac:dyDescent="0.25">
      <c r="A5" s="3" t="s">
        <v>899</v>
      </c>
      <c r="B5" s="3" t="s">
        <v>564</v>
      </c>
      <c r="C5" s="3" t="s">
        <v>915</v>
      </c>
      <c r="D5" s="3" t="s">
        <v>891</v>
      </c>
      <c r="E5" s="3" t="s">
        <v>891</v>
      </c>
      <c r="F5" s="3" t="s">
        <v>891</v>
      </c>
      <c r="G5" s="3" t="s">
        <v>891</v>
      </c>
    </row>
    <row r="6" spans="1:7" s="3" customFormat="1" x14ac:dyDescent="0.25">
      <c r="A6" s="3" t="s">
        <v>900</v>
      </c>
      <c r="B6" s="3" t="s">
        <v>426</v>
      </c>
      <c r="C6" s="3" t="s">
        <v>915</v>
      </c>
      <c r="D6" s="3" t="s">
        <v>891</v>
      </c>
      <c r="E6" s="3" t="s">
        <v>891</v>
      </c>
      <c r="F6" s="3" t="s">
        <v>891</v>
      </c>
      <c r="G6" s="3" t="s">
        <v>891</v>
      </c>
    </row>
    <row r="7" spans="1:7" s="3" customFormat="1" x14ac:dyDescent="0.25">
      <c r="A7" s="3" t="s">
        <v>901</v>
      </c>
      <c r="B7" s="3" t="s">
        <v>565</v>
      </c>
      <c r="C7" s="3" t="s">
        <v>915</v>
      </c>
      <c r="D7" s="3" t="s">
        <v>891</v>
      </c>
      <c r="E7" s="3" t="s">
        <v>891</v>
      </c>
      <c r="F7" s="3" t="s">
        <v>891</v>
      </c>
      <c r="G7" s="3" t="s">
        <v>891</v>
      </c>
    </row>
    <row r="8" spans="1:7" s="3" customFormat="1" x14ac:dyDescent="0.25">
      <c r="A8" s="3" t="s">
        <v>935</v>
      </c>
      <c r="B8" s="3" t="s">
        <v>936</v>
      </c>
      <c r="C8" s="3" t="s">
        <v>937</v>
      </c>
      <c r="D8" s="3" t="s">
        <v>891</v>
      </c>
      <c r="E8" s="3" t="s">
        <v>891</v>
      </c>
      <c r="F8" s="3" t="s">
        <v>891</v>
      </c>
      <c r="G8" s="3" t="s">
        <v>891</v>
      </c>
    </row>
    <row r="9" spans="1:7" s="2" customFormat="1" x14ac:dyDescent="0.25">
      <c r="A9" s="2" t="s">
        <v>905</v>
      </c>
      <c r="B9" s="2" t="s">
        <v>525</v>
      </c>
      <c r="C9" s="2" t="s">
        <v>917</v>
      </c>
      <c r="D9" s="2" t="s">
        <v>525</v>
      </c>
      <c r="E9" s="2" t="s">
        <v>507</v>
      </c>
      <c r="F9" s="2" t="s">
        <v>891</v>
      </c>
      <c r="G9" s="2" t="s">
        <v>891</v>
      </c>
    </row>
    <row r="10" spans="1:7" s="2" customFormat="1" x14ac:dyDescent="0.25">
      <c r="A10" s="2" t="s">
        <v>906</v>
      </c>
      <c r="B10" s="2" t="s">
        <v>648</v>
      </c>
      <c r="C10" s="2" t="s">
        <v>918</v>
      </c>
      <c r="D10" s="2" t="s">
        <v>648</v>
      </c>
      <c r="E10" s="2" t="s">
        <v>647</v>
      </c>
      <c r="F10" s="2" t="s">
        <v>891</v>
      </c>
      <c r="G10" s="2" t="s">
        <v>891</v>
      </c>
    </row>
    <row r="11" spans="1:7" s="3" customFormat="1" x14ac:dyDescent="0.25">
      <c r="A11" s="3" t="s">
        <v>908</v>
      </c>
      <c r="B11" s="3" t="s">
        <v>324</v>
      </c>
      <c r="C11" s="3" t="s">
        <v>200</v>
      </c>
      <c r="D11" s="3" t="s">
        <v>891</v>
      </c>
      <c r="E11" s="3" t="s">
        <v>891</v>
      </c>
      <c r="F11" s="3" t="s">
        <v>891</v>
      </c>
      <c r="G11" s="3" t="s">
        <v>891</v>
      </c>
    </row>
    <row r="12" spans="1:7" s="2" customFormat="1" x14ac:dyDescent="0.25">
      <c r="A12" s="2" t="s">
        <v>909</v>
      </c>
      <c r="B12" s="2" t="s">
        <v>528</v>
      </c>
      <c r="C12" s="2" t="s">
        <v>920</v>
      </c>
      <c r="D12" s="2" t="s">
        <v>528</v>
      </c>
      <c r="E12" s="2" t="s">
        <v>509</v>
      </c>
      <c r="F12" s="2" t="s">
        <v>891</v>
      </c>
      <c r="G12" s="2" t="s">
        <v>891</v>
      </c>
    </row>
    <row r="13" spans="1:7" s="2" customFormat="1" x14ac:dyDescent="0.25">
      <c r="A13" s="2" t="s">
        <v>910</v>
      </c>
      <c r="B13" s="2" t="s">
        <v>529</v>
      </c>
      <c r="C13" s="2" t="s">
        <v>920</v>
      </c>
      <c r="D13" s="2" t="s">
        <v>529</v>
      </c>
      <c r="E13" s="2" t="s">
        <v>510</v>
      </c>
      <c r="F13" s="2" t="s">
        <v>891</v>
      </c>
      <c r="G13" s="2" t="s">
        <v>891</v>
      </c>
    </row>
    <row r="14" spans="1:7" s="3" customFormat="1" x14ac:dyDescent="0.25">
      <c r="A14" s="3" t="s">
        <v>938</v>
      </c>
      <c r="B14" s="3" t="s">
        <v>939</v>
      </c>
      <c r="C14" s="3" t="s">
        <v>940</v>
      </c>
      <c r="D14" s="3" t="s">
        <v>939</v>
      </c>
      <c r="E14" s="3" t="s">
        <v>939</v>
      </c>
      <c r="F14" s="3" t="s">
        <v>947</v>
      </c>
      <c r="G14" s="3" t="s">
        <v>946</v>
      </c>
    </row>
    <row r="15" spans="1:7" s="3" customFormat="1" x14ac:dyDescent="0.25">
      <c r="A15" s="3" t="s">
        <v>941</v>
      </c>
      <c r="B15" s="3" t="s">
        <v>942</v>
      </c>
      <c r="C15" s="3" t="s">
        <v>937</v>
      </c>
      <c r="D15" s="3" t="s">
        <v>942</v>
      </c>
      <c r="E15" s="3" t="s">
        <v>943</v>
      </c>
      <c r="F15" s="3" t="s">
        <v>594</v>
      </c>
      <c r="G15" s="3" t="s">
        <v>311</v>
      </c>
    </row>
    <row r="16" spans="1:7" s="3" customFormat="1" x14ac:dyDescent="0.25">
      <c r="A16" s="3" t="s">
        <v>944</v>
      </c>
      <c r="B16" s="3" t="s">
        <v>945</v>
      </c>
      <c r="C16" s="3" t="s">
        <v>937</v>
      </c>
      <c r="D16" s="3" t="s">
        <v>891</v>
      </c>
      <c r="E16" s="3" t="s">
        <v>891</v>
      </c>
      <c r="F16" s="3" t="s">
        <v>891</v>
      </c>
      <c r="G16" s="3" t="s">
        <v>311</v>
      </c>
    </row>
  </sheetData>
  <autoFilter ref="A1:G1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85" zoomScaleNormal="85" workbookViewId="0">
      <selection activeCell="B12" sqref="B12"/>
    </sheetView>
  </sheetViews>
  <sheetFormatPr defaultRowHeight="15" x14ac:dyDescent="0.25"/>
  <cols>
    <col min="1" max="1" width="18.28515625" bestFit="1" customWidth="1"/>
    <col min="2" max="2" width="32" bestFit="1" customWidth="1"/>
    <col min="3" max="3" width="110" bestFit="1" customWidth="1"/>
    <col min="4" max="4" width="32" bestFit="1" customWidth="1"/>
    <col min="5" max="5" width="12.7109375" bestFit="1" customWidth="1"/>
    <col min="6" max="6" width="8.5703125" bestFit="1" customWidth="1"/>
    <col min="7" max="7" width="14.710937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889</v>
      </c>
      <c r="E1" t="s">
        <v>1</v>
      </c>
      <c r="F1" t="s">
        <v>60</v>
      </c>
      <c r="G1" t="s">
        <v>396</v>
      </c>
    </row>
    <row r="2" spans="1:7" s="3" customFormat="1" x14ac:dyDescent="0.25">
      <c r="A2" s="3" t="s">
        <v>968</v>
      </c>
      <c r="B2" s="3" t="s">
        <v>966</v>
      </c>
      <c r="C2" s="3" t="s">
        <v>967</v>
      </c>
      <c r="D2" s="3" t="s">
        <v>966</v>
      </c>
      <c r="E2" s="3" t="s">
        <v>965</v>
      </c>
      <c r="F2" s="3" t="s">
        <v>679</v>
      </c>
      <c r="G2" s="3" t="s">
        <v>311</v>
      </c>
    </row>
    <row r="3" spans="1:7" s="3" customFormat="1" x14ac:dyDescent="0.25">
      <c r="A3" s="3" t="s">
        <v>964</v>
      </c>
      <c r="B3" s="3" t="s">
        <v>963</v>
      </c>
      <c r="C3" s="3" t="s">
        <v>951</v>
      </c>
      <c r="D3" s="3" t="s">
        <v>963</v>
      </c>
      <c r="E3" s="3" t="s">
        <v>962</v>
      </c>
      <c r="F3" s="3" t="s">
        <v>679</v>
      </c>
      <c r="G3" s="3" t="s">
        <v>311</v>
      </c>
    </row>
    <row r="4" spans="1:7" s="3" customFormat="1" x14ac:dyDescent="0.25">
      <c r="A4" s="3" t="s">
        <v>961</v>
      </c>
      <c r="B4" s="3" t="s">
        <v>959</v>
      </c>
      <c r="C4" s="3" t="s">
        <v>960</v>
      </c>
      <c r="D4" s="3" t="s">
        <v>959</v>
      </c>
      <c r="E4" s="3" t="s">
        <v>958</v>
      </c>
      <c r="F4" s="3" t="s">
        <v>679</v>
      </c>
      <c r="G4" s="3" t="s">
        <v>311</v>
      </c>
    </row>
    <row r="5" spans="1:7" s="2" customFormat="1" x14ac:dyDescent="0.25">
      <c r="A5" s="2" t="s">
        <v>905</v>
      </c>
      <c r="B5" s="2" t="s">
        <v>525</v>
      </c>
      <c r="C5" s="2" t="s">
        <v>917</v>
      </c>
      <c r="D5" s="2" t="s">
        <v>525</v>
      </c>
      <c r="E5" s="2" t="s">
        <v>507</v>
      </c>
      <c r="F5" s="2" t="s">
        <v>891</v>
      </c>
      <c r="G5" s="2" t="s">
        <v>891</v>
      </c>
    </row>
    <row r="6" spans="1:7" s="2" customFormat="1" x14ac:dyDescent="0.25">
      <c r="A6" s="2" t="s">
        <v>906</v>
      </c>
      <c r="B6" s="2" t="s">
        <v>648</v>
      </c>
      <c r="C6" s="2" t="s">
        <v>918</v>
      </c>
      <c r="D6" s="2" t="s">
        <v>648</v>
      </c>
      <c r="E6" s="2" t="s">
        <v>647</v>
      </c>
      <c r="F6" s="2" t="s">
        <v>891</v>
      </c>
      <c r="G6" s="2" t="s">
        <v>891</v>
      </c>
    </row>
    <row r="7" spans="1:7" x14ac:dyDescent="0.25">
      <c r="A7" t="s">
        <v>908</v>
      </c>
      <c r="B7" t="s">
        <v>324</v>
      </c>
      <c r="C7" t="s">
        <v>200</v>
      </c>
      <c r="D7" t="s">
        <v>891</v>
      </c>
      <c r="E7" t="s">
        <v>891</v>
      </c>
      <c r="F7" t="s">
        <v>891</v>
      </c>
      <c r="G7" t="s">
        <v>891</v>
      </c>
    </row>
    <row r="8" spans="1:7" s="2" customFormat="1" x14ac:dyDescent="0.25">
      <c r="A8" s="2" t="s">
        <v>909</v>
      </c>
      <c r="B8" s="2" t="s">
        <v>528</v>
      </c>
      <c r="C8" s="2" t="s">
        <v>920</v>
      </c>
      <c r="D8" s="2" t="s">
        <v>528</v>
      </c>
      <c r="E8" s="2" t="s">
        <v>509</v>
      </c>
      <c r="F8" s="2" t="s">
        <v>891</v>
      </c>
      <c r="G8" s="2" t="s">
        <v>891</v>
      </c>
    </row>
    <row r="9" spans="1:7" s="2" customFormat="1" x14ac:dyDescent="0.25">
      <c r="A9" s="2" t="s">
        <v>910</v>
      </c>
      <c r="B9" s="2" t="s">
        <v>529</v>
      </c>
      <c r="C9" s="2" t="s">
        <v>920</v>
      </c>
      <c r="D9" s="2" t="s">
        <v>529</v>
      </c>
      <c r="E9" s="2" t="s">
        <v>510</v>
      </c>
      <c r="F9" s="2" t="s">
        <v>891</v>
      </c>
      <c r="G9" s="2" t="s">
        <v>891</v>
      </c>
    </row>
    <row r="10" spans="1:7" s="3" customFormat="1" x14ac:dyDescent="0.25">
      <c r="A10" s="3" t="s">
        <v>938</v>
      </c>
      <c r="B10" s="3" t="s">
        <v>939</v>
      </c>
      <c r="C10" s="3" t="s">
        <v>940</v>
      </c>
      <c r="D10" s="3" t="s">
        <v>939</v>
      </c>
      <c r="E10" s="3" t="s">
        <v>939</v>
      </c>
      <c r="F10" s="3" t="s">
        <v>891</v>
      </c>
      <c r="G10" s="3" t="s">
        <v>311</v>
      </c>
    </row>
    <row r="11" spans="1:7" s="3" customFormat="1" x14ac:dyDescent="0.25">
      <c r="A11" s="3" t="s">
        <v>912</v>
      </c>
      <c r="B11" s="3" t="s">
        <v>886</v>
      </c>
      <c r="C11" s="3" t="s">
        <v>921</v>
      </c>
      <c r="D11" s="3" t="s">
        <v>891</v>
      </c>
      <c r="E11" s="3" t="s">
        <v>891</v>
      </c>
      <c r="F11" s="3" t="s">
        <v>891</v>
      </c>
      <c r="G11" s="3" t="s">
        <v>311</v>
      </c>
    </row>
    <row r="12" spans="1:7" x14ac:dyDescent="0.25">
      <c r="A12" t="s">
        <v>950</v>
      </c>
      <c r="B12" t="s">
        <v>949</v>
      </c>
      <c r="C12" t="s">
        <v>957</v>
      </c>
      <c r="D12" t="s">
        <v>891</v>
      </c>
      <c r="E12" t="s">
        <v>891</v>
      </c>
      <c r="F12" t="s">
        <v>891</v>
      </c>
      <c r="G12" t="s">
        <v>891</v>
      </c>
    </row>
    <row r="13" spans="1:7" s="2" customFormat="1" x14ac:dyDescent="0.25">
      <c r="A13" s="2" t="s">
        <v>897</v>
      </c>
      <c r="B13" s="2" t="s">
        <v>285</v>
      </c>
      <c r="C13" s="2" t="s">
        <v>246</v>
      </c>
      <c r="D13" s="2" t="s">
        <v>285</v>
      </c>
      <c r="E13" s="2" t="s">
        <v>17</v>
      </c>
      <c r="F13" s="2" t="s">
        <v>891</v>
      </c>
      <c r="G13" s="2" t="s">
        <v>891</v>
      </c>
    </row>
    <row r="14" spans="1:7" s="3" customFormat="1" x14ac:dyDescent="0.25">
      <c r="A14" s="3" t="s">
        <v>898</v>
      </c>
      <c r="B14" s="3" t="s">
        <v>563</v>
      </c>
      <c r="C14" s="3" t="s">
        <v>915</v>
      </c>
      <c r="D14" s="3" t="s">
        <v>891</v>
      </c>
      <c r="E14" s="3" t="s">
        <v>891</v>
      </c>
      <c r="F14" s="3" t="s">
        <v>891</v>
      </c>
      <c r="G14" s="3" t="s">
        <v>311</v>
      </c>
    </row>
    <row r="15" spans="1:7" s="3" customFormat="1" x14ac:dyDescent="0.25">
      <c r="A15" s="3" t="s">
        <v>899</v>
      </c>
      <c r="B15" s="3" t="s">
        <v>564</v>
      </c>
      <c r="C15" s="3" t="s">
        <v>915</v>
      </c>
      <c r="D15" s="3" t="s">
        <v>891</v>
      </c>
      <c r="E15" s="3" t="s">
        <v>891</v>
      </c>
      <c r="F15" s="3" t="s">
        <v>891</v>
      </c>
      <c r="G15" s="3" t="s">
        <v>311</v>
      </c>
    </row>
    <row r="16" spans="1:7" s="3" customFormat="1" x14ac:dyDescent="0.25">
      <c r="A16" s="3" t="s">
        <v>900</v>
      </c>
      <c r="B16" s="3" t="s">
        <v>426</v>
      </c>
      <c r="C16" s="3" t="s">
        <v>915</v>
      </c>
      <c r="D16" s="3" t="s">
        <v>891</v>
      </c>
      <c r="E16" s="3" t="s">
        <v>891</v>
      </c>
      <c r="F16" s="3" t="s">
        <v>891</v>
      </c>
      <c r="G16" s="3" t="s">
        <v>311</v>
      </c>
    </row>
    <row r="17" spans="1:7" s="3" customFormat="1" x14ac:dyDescent="0.25">
      <c r="A17" s="3" t="s">
        <v>901</v>
      </c>
      <c r="B17" s="3" t="s">
        <v>565</v>
      </c>
      <c r="C17" s="3" t="s">
        <v>915</v>
      </c>
      <c r="D17" s="3" t="s">
        <v>891</v>
      </c>
      <c r="E17" s="3" t="s">
        <v>891</v>
      </c>
      <c r="F17" s="3" t="s">
        <v>891</v>
      </c>
      <c r="G17" s="3" t="s">
        <v>311</v>
      </c>
    </row>
    <row r="18" spans="1:7" s="3" customFormat="1" x14ac:dyDescent="0.25">
      <c r="A18" s="3" t="s">
        <v>956</v>
      </c>
      <c r="B18" s="3" t="s">
        <v>955</v>
      </c>
      <c r="C18" s="3" t="s">
        <v>954</v>
      </c>
      <c r="D18" s="3" t="s">
        <v>891</v>
      </c>
      <c r="E18" s="3" t="s">
        <v>891</v>
      </c>
      <c r="F18" s="3" t="s">
        <v>596</v>
      </c>
      <c r="G18" s="3" t="s">
        <v>311</v>
      </c>
    </row>
    <row r="19" spans="1:7" s="3" customFormat="1" x14ac:dyDescent="0.25">
      <c r="A19" s="3" t="s">
        <v>953</v>
      </c>
      <c r="B19" s="3" t="s">
        <v>952</v>
      </c>
      <c r="C19" s="3" t="s">
        <v>951</v>
      </c>
      <c r="D19" s="3" t="s">
        <v>891</v>
      </c>
      <c r="E19" s="3" t="s">
        <v>891</v>
      </c>
      <c r="F19" s="3" t="s">
        <v>596</v>
      </c>
      <c r="G19" s="3" t="s">
        <v>311</v>
      </c>
    </row>
    <row r="20" spans="1:7" x14ac:dyDescent="0.25">
      <c r="A20" t="s">
        <v>950</v>
      </c>
      <c r="B20" t="s">
        <v>949</v>
      </c>
      <c r="C20" t="s">
        <v>948</v>
      </c>
      <c r="D20" t="s">
        <v>891</v>
      </c>
      <c r="E20" t="s">
        <v>891</v>
      </c>
      <c r="F20" t="s">
        <v>891</v>
      </c>
      <c r="G20" t="s">
        <v>891</v>
      </c>
    </row>
  </sheetData>
  <autoFilter ref="A1:G1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zoomScale="85" zoomScaleNormal="85" workbookViewId="0">
      <pane ySplit="1" topLeftCell="A2" activePane="bottomLeft" state="frozen"/>
      <selection pane="bottomLeft" activeCell="B28" sqref="B28"/>
    </sheetView>
  </sheetViews>
  <sheetFormatPr defaultRowHeight="15" x14ac:dyDescent="0.25"/>
  <cols>
    <col min="1" max="1" width="16" bestFit="1" customWidth="1"/>
    <col min="2" max="2" width="32.42578125" bestFit="1" customWidth="1"/>
    <col min="3" max="3" width="110" bestFit="1" customWidth="1"/>
    <col min="4" max="4" width="32.42578125" bestFit="1" customWidth="1"/>
    <col min="5" max="5" width="12.7109375" bestFit="1" customWidth="1"/>
    <col min="6" max="6" width="6.28515625" bestFit="1" customWidth="1"/>
    <col min="7" max="7" width="12.42578125" bestFit="1" customWidth="1"/>
  </cols>
  <sheetData>
    <row r="1" spans="1:7" s="11" customFormat="1" x14ac:dyDescent="0.25">
      <c r="A1" s="11" t="s">
        <v>887</v>
      </c>
      <c r="B1" s="11" t="s">
        <v>888</v>
      </c>
      <c r="C1" s="11" t="s">
        <v>332</v>
      </c>
      <c r="D1" s="11" t="s">
        <v>889</v>
      </c>
      <c r="E1" s="11" t="s">
        <v>1</v>
      </c>
      <c r="F1" s="11" t="s">
        <v>60</v>
      </c>
      <c r="G1" s="11" t="s">
        <v>396</v>
      </c>
    </row>
    <row r="2" spans="1:7" s="3" customFormat="1" x14ac:dyDescent="0.25">
      <c r="A2" s="3" t="s">
        <v>969</v>
      </c>
      <c r="B2" s="3" t="s">
        <v>970</v>
      </c>
      <c r="C2" s="3" t="s">
        <v>971</v>
      </c>
      <c r="D2" s="3" t="s">
        <v>891</v>
      </c>
      <c r="E2" s="3" t="s">
        <v>891</v>
      </c>
      <c r="F2" s="3" t="s">
        <v>891</v>
      </c>
      <c r="G2" s="3" t="s">
        <v>311</v>
      </c>
    </row>
    <row r="3" spans="1:7" x14ac:dyDescent="0.25">
      <c r="A3" t="s">
        <v>972</v>
      </c>
      <c r="B3" t="s">
        <v>973</v>
      </c>
      <c r="C3" t="s">
        <v>974</v>
      </c>
      <c r="D3" t="s">
        <v>973</v>
      </c>
      <c r="E3" t="s">
        <v>975</v>
      </c>
      <c r="F3" t="s">
        <v>891</v>
      </c>
      <c r="G3" t="s">
        <v>891</v>
      </c>
    </row>
    <row r="4" spans="1:7" s="3" customFormat="1" x14ac:dyDescent="0.25">
      <c r="A4" s="3" t="s">
        <v>976</v>
      </c>
      <c r="B4" s="3" t="s">
        <v>977</v>
      </c>
      <c r="C4" s="3" t="s">
        <v>951</v>
      </c>
      <c r="D4" s="3" t="s">
        <v>891</v>
      </c>
      <c r="E4" s="3" t="s">
        <v>891</v>
      </c>
      <c r="F4" s="3" t="s">
        <v>1075</v>
      </c>
      <c r="G4" s="3" t="s">
        <v>311</v>
      </c>
    </row>
    <row r="5" spans="1:7" s="3" customFormat="1" x14ac:dyDescent="0.25">
      <c r="A5" s="3" t="s">
        <v>978</v>
      </c>
      <c r="B5" s="3" t="s">
        <v>979</v>
      </c>
      <c r="C5" s="3" t="s">
        <v>951</v>
      </c>
      <c r="D5" s="3" t="s">
        <v>891</v>
      </c>
      <c r="E5" s="3" t="s">
        <v>891</v>
      </c>
      <c r="F5" s="3" t="s">
        <v>1075</v>
      </c>
      <c r="G5" s="3" t="s">
        <v>311</v>
      </c>
    </row>
    <row r="6" spans="1:7" s="3" customFormat="1" x14ac:dyDescent="0.25">
      <c r="A6" s="3" t="s">
        <v>980</v>
      </c>
      <c r="B6" s="3" t="s">
        <v>981</v>
      </c>
      <c r="C6" s="3" t="s">
        <v>982</v>
      </c>
      <c r="D6" s="3" t="s">
        <v>891</v>
      </c>
      <c r="E6" s="3" t="s">
        <v>891</v>
      </c>
      <c r="F6" s="3" t="s">
        <v>1075</v>
      </c>
      <c r="G6" s="3" t="s">
        <v>311</v>
      </c>
    </row>
    <row r="7" spans="1:7" s="3" customFormat="1" x14ac:dyDescent="0.25">
      <c r="A7" s="3" t="s">
        <v>983</v>
      </c>
      <c r="B7" s="3" t="s">
        <v>984</v>
      </c>
      <c r="C7" s="3" t="s">
        <v>982</v>
      </c>
      <c r="D7" s="3" t="s">
        <v>891</v>
      </c>
      <c r="E7" s="3" t="s">
        <v>891</v>
      </c>
      <c r="F7" s="3" t="s">
        <v>1075</v>
      </c>
      <c r="G7" s="3" t="s">
        <v>311</v>
      </c>
    </row>
    <row r="8" spans="1:7" s="3" customFormat="1" x14ac:dyDescent="0.25">
      <c r="A8" s="3" t="s">
        <v>985</v>
      </c>
      <c r="B8" s="3" t="s">
        <v>986</v>
      </c>
      <c r="C8" s="3" t="s">
        <v>987</v>
      </c>
      <c r="D8" s="3" t="s">
        <v>986</v>
      </c>
      <c r="E8" s="3" t="s">
        <v>988</v>
      </c>
      <c r="F8" s="3" t="s">
        <v>679</v>
      </c>
      <c r="G8" s="3" t="s">
        <v>311</v>
      </c>
    </row>
    <row r="9" spans="1:7" s="3" customFormat="1" x14ac:dyDescent="0.25">
      <c r="A9" s="3" t="s">
        <v>989</v>
      </c>
      <c r="B9" s="3" t="s">
        <v>990</v>
      </c>
      <c r="C9" s="3" t="s">
        <v>991</v>
      </c>
      <c r="D9" s="3" t="s">
        <v>990</v>
      </c>
      <c r="E9" s="3" t="s">
        <v>992</v>
      </c>
      <c r="F9" s="3" t="s">
        <v>679</v>
      </c>
      <c r="G9" s="3" t="s">
        <v>311</v>
      </c>
    </row>
    <row r="10" spans="1:7" x14ac:dyDescent="0.25">
      <c r="A10" t="s">
        <v>993</v>
      </c>
      <c r="B10" t="s">
        <v>994</v>
      </c>
      <c r="C10" t="s">
        <v>995</v>
      </c>
      <c r="D10" t="s">
        <v>891</v>
      </c>
      <c r="E10" t="s">
        <v>891</v>
      </c>
      <c r="F10" t="s">
        <v>891</v>
      </c>
      <c r="G10" t="s">
        <v>891</v>
      </c>
    </row>
    <row r="11" spans="1:7" s="2" customFormat="1" x14ac:dyDescent="0.25">
      <c r="A11" s="2" t="s">
        <v>996</v>
      </c>
      <c r="B11" s="2" t="s">
        <v>997</v>
      </c>
      <c r="C11" s="2" t="s">
        <v>998</v>
      </c>
      <c r="D11" s="2" t="s">
        <v>891</v>
      </c>
      <c r="E11" s="2" t="s">
        <v>891</v>
      </c>
      <c r="F11" s="2" t="s">
        <v>1076</v>
      </c>
      <c r="G11" s="2" t="s">
        <v>891</v>
      </c>
    </row>
    <row r="12" spans="1:7" s="3" customFormat="1" x14ac:dyDescent="0.25">
      <c r="A12" s="3" t="s">
        <v>999</v>
      </c>
      <c r="B12" s="3" t="s">
        <v>1000</v>
      </c>
      <c r="C12" s="3" t="s">
        <v>1001</v>
      </c>
      <c r="D12" s="3" t="s">
        <v>1000</v>
      </c>
      <c r="E12" s="3" t="s">
        <v>1002</v>
      </c>
      <c r="F12" s="3" t="s">
        <v>891</v>
      </c>
      <c r="G12" s="3" t="s">
        <v>891</v>
      </c>
    </row>
    <row r="13" spans="1:7" s="3" customFormat="1" x14ac:dyDescent="0.25">
      <c r="A13" s="3" t="s">
        <v>1003</v>
      </c>
      <c r="B13" s="3" t="s">
        <v>1004</v>
      </c>
      <c r="C13" s="3" t="s">
        <v>1001</v>
      </c>
      <c r="D13" s="3" t="s">
        <v>1004</v>
      </c>
      <c r="E13" s="3" t="s">
        <v>1005</v>
      </c>
      <c r="F13" s="3" t="s">
        <v>891</v>
      </c>
      <c r="G13" s="3" t="s">
        <v>891</v>
      </c>
    </row>
    <row r="14" spans="1:7" s="3" customFormat="1" x14ac:dyDescent="0.25">
      <c r="A14" s="3" t="s">
        <v>1006</v>
      </c>
      <c r="B14" s="3" t="s">
        <v>1007</v>
      </c>
      <c r="C14" s="3" t="s">
        <v>1008</v>
      </c>
      <c r="D14" s="3" t="s">
        <v>1007</v>
      </c>
      <c r="E14" s="3" t="s">
        <v>1009</v>
      </c>
      <c r="G14" s="3" t="s">
        <v>946</v>
      </c>
    </row>
    <row r="15" spans="1:7" s="3" customFormat="1" x14ac:dyDescent="0.25">
      <c r="A15" s="3" t="s">
        <v>1010</v>
      </c>
      <c r="B15" s="3" t="s">
        <v>1011</v>
      </c>
      <c r="C15" s="3" t="s">
        <v>1012</v>
      </c>
      <c r="D15" s="3" t="s">
        <v>1011</v>
      </c>
      <c r="E15" s="3" t="s">
        <v>1013</v>
      </c>
      <c r="F15" s="3" t="s">
        <v>891</v>
      </c>
      <c r="G15" s="3" t="s">
        <v>891</v>
      </c>
    </row>
    <row r="16" spans="1:7" s="3" customFormat="1" x14ac:dyDescent="0.25">
      <c r="A16" s="3" t="s">
        <v>1014</v>
      </c>
      <c r="B16" s="3" t="s">
        <v>1015</v>
      </c>
      <c r="C16" s="3" t="s">
        <v>1016</v>
      </c>
      <c r="D16" s="3" t="s">
        <v>1015</v>
      </c>
      <c r="E16" s="3" t="s">
        <v>1017</v>
      </c>
      <c r="F16" s="3" t="s">
        <v>679</v>
      </c>
      <c r="G16" s="3" t="s">
        <v>311</v>
      </c>
    </row>
    <row r="17" spans="1:7" x14ac:dyDescent="0.25">
      <c r="A17" t="s">
        <v>1018</v>
      </c>
      <c r="B17" t="s">
        <v>1019</v>
      </c>
      <c r="C17" t="s">
        <v>960</v>
      </c>
      <c r="D17" t="s">
        <v>891</v>
      </c>
      <c r="E17" t="s">
        <v>891</v>
      </c>
      <c r="F17" t="s">
        <v>891</v>
      </c>
      <c r="G17" t="s">
        <v>891</v>
      </c>
    </row>
    <row r="18" spans="1:7" s="2" customFormat="1" x14ac:dyDescent="0.25">
      <c r="A18" s="2" t="s">
        <v>1020</v>
      </c>
      <c r="B18" s="2" t="s">
        <v>1021</v>
      </c>
      <c r="C18" s="2" t="s">
        <v>1022</v>
      </c>
      <c r="D18" s="2" t="s">
        <v>891</v>
      </c>
      <c r="E18" s="2" t="s">
        <v>891</v>
      </c>
      <c r="F18" s="2" t="s">
        <v>891</v>
      </c>
      <c r="G18" s="2" t="s">
        <v>891</v>
      </c>
    </row>
    <row r="19" spans="1:7" s="2" customFormat="1" x14ac:dyDescent="0.25">
      <c r="A19" s="2" t="s">
        <v>1023</v>
      </c>
      <c r="B19" s="2" t="s">
        <v>1024</v>
      </c>
      <c r="C19" s="2" t="s">
        <v>203</v>
      </c>
      <c r="D19" s="2" t="s">
        <v>891</v>
      </c>
      <c r="E19" s="2" t="s">
        <v>891</v>
      </c>
      <c r="F19" s="2" t="s">
        <v>891</v>
      </c>
      <c r="G19" s="2" t="s">
        <v>891</v>
      </c>
    </row>
    <row r="20" spans="1:7" s="2" customFormat="1" x14ac:dyDescent="0.25">
      <c r="A20" s="2" t="s">
        <v>1025</v>
      </c>
      <c r="B20" s="2" t="s">
        <v>1026</v>
      </c>
      <c r="C20" s="2" t="s">
        <v>1027</v>
      </c>
      <c r="D20" s="2" t="s">
        <v>891</v>
      </c>
      <c r="E20" s="2" t="s">
        <v>891</v>
      </c>
      <c r="F20" s="2" t="s">
        <v>891</v>
      </c>
      <c r="G20" s="2" t="s">
        <v>891</v>
      </c>
    </row>
    <row r="21" spans="1:7" x14ac:dyDescent="0.25">
      <c r="A21" t="s">
        <v>1028</v>
      </c>
      <c r="B21" t="s">
        <v>1029</v>
      </c>
      <c r="C21" t="s">
        <v>1030</v>
      </c>
      <c r="D21" t="s">
        <v>1029</v>
      </c>
      <c r="E21" t="s">
        <v>1031</v>
      </c>
      <c r="F21" t="s">
        <v>891</v>
      </c>
      <c r="G21" t="s">
        <v>891</v>
      </c>
    </row>
    <row r="22" spans="1:7" x14ac:dyDescent="0.25">
      <c r="A22" t="s">
        <v>1032</v>
      </c>
      <c r="B22" t="s">
        <v>1033</v>
      </c>
      <c r="C22" t="s">
        <v>1030</v>
      </c>
      <c r="D22" t="s">
        <v>1033</v>
      </c>
      <c r="E22" t="s">
        <v>1034</v>
      </c>
      <c r="F22" t="s">
        <v>891</v>
      </c>
      <c r="G22" t="s">
        <v>891</v>
      </c>
    </row>
    <row r="23" spans="1:7" s="2" customFormat="1" x14ac:dyDescent="0.25">
      <c r="A23" s="2" t="s">
        <v>1035</v>
      </c>
      <c r="B23" s="2" t="s">
        <v>1036</v>
      </c>
      <c r="C23" s="2" t="s">
        <v>1037</v>
      </c>
      <c r="D23" s="2" t="s">
        <v>891</v>
      </c>
      <c r="E23" s="2" t="s">
        <v>891</v>
      </c>
      <c r="F23" s="2" t="s">
        <v>891</v>
      </c>
      <c r="G23" s="2" t="s">
        <v>891</v>
      </c>
    </row>
    <row r="24" spans="1:7" x14ac:dyDescent="0.25">
      <c r="A24" t="s">
        <v>1038</v>
      </c>
      <c r="B24" t="s">
        <v>1039</v>
      </c>
      <c r="C24" t="s">
        <v>1012</v>
      </c>
      <c r="D24" t="s">
        <v>1039</v>
      </c>
      <c r="E24" t="s">
        <v>1040</v>
      </c>
      <c r="F24" t="s">
        <v>891</v>
      </c>
      <c r="G24" t="s">
        <v>891</v>
      </c>
    </row>
    <row r="25" spans="1:7" s="2" customFormat="1" x14ac:dyDescent="0.25">
      <c r="A25" s="2" t="s">
        <v>1041</v>
      </c>
      <c r="B25" s="2" t="s">
        <v>1042</v>
      </c>
      <c r="C25" s="2" t="s">
        <v>1043</v>
      </c>
      <c r="D25" s="2" t="s">
        <v>891</v>
      </c>
      <c r="E25" s="2" t="s">
        <v>891</v>
      </c>
      <c r="F25" s="2" t="s">
        <v>891</v>
      </c>
      <c r="G25" s="2" t="s">
        <v>891</v>
      </c>
    </row>
    <row r="26" spans="1:7" s="2" customFormat="1" x14ac:dyDescent="0.25">
      <c r="A26" s="2" t="s">
        <v>1044</v>
      </c>
      <c r="B26" s="2" t="s">
        <v>1045</v>
      </c>
      <c r="C26" s="2" t="s">
        <v>1043</v>
      </c>
      <c r="D26" s="2" t="s">
        <v>891</v>
      </c>
      <c r="E26" s="2" t="s">
        <v>891</v>
      </c>
      <c r="F26" s="2" t="s">
        <v>891</v>
      </c>
      <c r="G26" s="2" t="s">
        <v>891</v>
      </c>
    </row>
    <row r="27" spans="1:7" s="2" customFormat="1" x14ac:dyDescent="0.25">
      <c r="A27" s="2" t="s">
        <v>1046</v>
      </c>
      <c r="B27" s="2" t="s">
        <v>1047</v>
      </c>
      <c r="C27" s="2" t="s">
        <v>1043</v>
      </c>
      <c r="D27" s="2" t="s">
        <v>891</v>
      </c>
      <c r="E27" s="2" t="s">
        <v>891</v>
      </c>
      <c r="F27" s="2" t="s">
        <v>891</v>
      </c>
      <c r="G27" s="2" t="s">
        <v>891</v>
      </c>
    </row>
    <row r="28" spans="1:7" s="2" customFormat="1" x14ac:dyDescent="0.25">
      <c r="A28" s="2" t="s">
        <v>1048</v>
      </c>
      <c r="B28" s="2" t="s">
        <v>1049</v>
      </c>
      <c r="C28" s="2" t="s">
        <v>1043</v>
      </c>
      <c r="D28" s="2" t="s">
        <v>891</v>
      </c>
      <c r="E28" s="2" t="s">
        <v>891</v>
      </c>
      <c r="F28" s="2" t="s">
        <v>891</v>
      </c>
      <c r="G28" s="2" t="s">
        <v>891</v>
      </c>
    </row>
    <row r="29" spans="1:7" s="2" customFormat="1" x14ac:dyDescent="0.25">
      <c r="A29" s="2" t="s">
        <v>1050</v>
      </c>
      <c r="B29" s="2" t="s">
        <v>1051</v>
      </c>
      <c r="C29" s="2" t="s">
        <v>1043</v>
      </c>
      <c r="D29" s="2" t="s">
        <v>891</v>
      </c>
      <c r="E29" s="2" t="s">
        <v>891</v>
      </c>
      <c r="F29" s="2" t="s">
        <v>891</v>
      </c>
      <c r="G29" s="2" t="s">
        <v>891</v>
      </c>
    </row>
    <row r="30" spans="1:7" s="2" customFormat="1" x14ac:dyDescent="0.25">
      <c r="A30" s="2" t="s">
        <v>1052</v>
      </c>
      <c r="B30" s="2" t="s">
        <v>1053</v>
      </c>
      <c r="C30" s="2" t="s">
        <v>1043</v>
      </c>
      <c r="D30" s="2" t="s">
        <v>891</v>
      </c>
      <c r="E30" s="2" t="s">
        <v>891</v>
      </c>
      <c r="F30" s="2" t="s">
        <v>891</v>
      </c>
      <c r="G30" s="2" t="s">
        <v>891</v>
      </c>
    </row>
    <row r="31" spans="1:7" s="2" customFormat="1" x14ac:dyDescent="0.25">
      <c r="A31" s="2" t="s">
        <v>1054</v>
      </c>
      <c r="B31" s="2" t="s">
        <v>1055</v>
      </c>
      <c r="C31" s="2" t="s">
        <v>982</v>
      </c>
      <c r="D31" s="2" t="s">
        <v>891</v>
      </c>
      <c r="E31" s="2" t="s">
        <v>891</v>
      </c>
      <c r="F31" s="2" t="s">
        <v>891</v>
      </c>
      <c r="G31" s="2" t="s">
        <v>891</v>
      </c>
    </row>
    <row r="32" spans="1:7" s="2" customFormat="1" x14ac:dyDescent="0.25">
      <c r="A32" s="2" t="s">
        <v>1056</v>
      </c>
      <c r="B32" s="2" t="s">
        <v>1057</v>
      </c>
      <c r="C32" s="2" t="s">
        <v>982</v>
      </c>
      <c r="D32" s="2" t="s">
        <v>891</v>
      </c>
      <c r="E32" s="2" t="s">
        <v>891</v>
      </c>
      <c r="F32" s="2" t="s">
        <v>891</v>
      </c>
      <c r="G32" s="2" t="s">
        <v>891</v>
      </c>
    </row>
    <row r="33" spans="1:7" s="2" customFormat="1" x14ac:dyDescent="0.25">
      <c r="A33" s="2" t="s">
        <v>1058</v>
      </c>
      <c r="B33" s="2" t="s">
        <v>1059</v>
      </c>
      <c r="C33" s="2" t="s">
        <v>982</v>
      </c>
      <c r="D33" s="2" t="s">
        <v>891</v>
      </c>
      <c r="E33" s="2" t="s">
        <v>891</v>
      </c>
      <c r="F33" s="2" t="s">
        <v>891</v>
      </c>
      <c r="G33" s="2" t="s">
        <v>891</v>
      </c>
    </row>
    <row r="34" spans="1:7" s="2" customFormat="1" x14ac:dyDescent="0.25">
      <c r="A34" s="2" t="s">
        <v>1060</v>
      </c>
      <c r="B34" s="2" t="s">
        <v>1061</v>
      </c>
      <c r="C34" s="2" t="s">
        <v>982</v>
      </c>
      <c r="D34" s="2" t="s">
        <v>891</v>
      </c>
      <c r="E34" s="2" t="s">
        <v>891</v>
      </c>
      <c r="F34" s="2" t="s">
        <v>891</v>
      </c>
      <c r="G34" s="2" t="s">
        <v>891</v>
      </c>
    </row>
    <row r="35" spans="1:7" s="2" customFormat="1" x14ac:dyDescent="0.25">
      <c r="A35" s="2" t="s">
        <v>1062</v>
      </c>
      <c r="B35" s="2" t="s">
        <v>1063</v>
      </c>
      <c r="C35" s="2" t="s">
        <v>982</v>
      </c>
      <c r="D35" s="2" t="s">
        <v>891</v>
      </c>
      <c r="E35" s="2" t="s">
        <v>891</v>
      </c>
      <c r="F35" s="2" t="s">
        <v>891</v>
      </c>
      <c r="G35" s="2" t="s">
        <v>891</v>
      </c>
    </row>
    <row r="36" spans="1:7" s="2" customFormat="1" x14ac:dyDescent="0.25">
      <c r="A36" s="2" t="s">
        <v>1064</v>
      </c>
      <c r="B36" s="2" t="s">
        <v>1065</v>
      </c>
      <c r="C36" s="2" t="s">
        <v>982</v>
      </c>
      <c r="D36" s="2" t="s">
        <v>891</v>
      </c>
      <c r="E36" s="2" t="s">
        <v>891</v>
      </c>
      <c r="F36" s="2" t="s">
        <v>891</v>
      </c>
      <c r="G36" s="2" t="s">
        <v>891</v>
      </c>
    </row>
    <row r="37" spans="1:7" s="2" customFormat="1" x14ac:dyDescent="0.25">
      <c r="A37" s="2" t="s">
        <v>1066</v>
      </c>
      <c r="B37" s="2" t="s">
        <v>1067</v>
      </c>
      <c r="C37" s="2" t="s">
        <v>1068</v>
      </c>
      <c r="D37" s="2" t="s">
        <v>891</v>
      </c>
      <c r="E37" s="2" t="s">
        <v>891</v>
      </c>
      <c r="F37" s="2" t="s">
        <v>891</v>
      </c>
      <c r="G37" s="2" t="s">
        <v>891</v>
      </c>
    </row>
    <row r="38" spans="1:7" s="2" customFormat="1" x14ac:dyDescent="0.25">
      <c r="A38" s="2" t="s">
        <v>1069</v>
      </c>
      <c r="B38" s="2" t="s">
        <v>1070</v>
      </c>
      <c r="C38" s="2" t="s">
        <v>1068</v>
      </c>
      <c r="D38" s="2" t="s">
        <v>891</v>
      </c>
      <c r="E38" s="2" t="s">
        <v>891</v>
      </c>
      <c r="F38" s="2" t="s">
        <v>891</v>
      </c>
      <c r="G38" s="2" t="s">
        <v>891</v>
      </c>
    </row>
    <row r="39" spans="1:7" x14ac:dyDescent="0.25">
      <c r="A39" t="s">
        <v>905</v>
      </c>
      <c r="B39" t="s">
        <v>525</v>
      </c>
      <c r="C39" t="s">
        <v>917</v>
      </c>
      <c r="D39" t="s">
        <v>525</v>
      </c>
      <c r="E39" t="s">
        <v>507</v>
      </c>
      <c r="F39" t="s">
        <v>891</v>
      </c>
      <c r="G39" t="s">
        <v>891</v>
      </c>
    </row>
    <row r="40" spans="1:7" x14ac:dyDescent="0.25">
      <c r="A40" t="s">
        <v>906</v>
      </c>
      <c r="B40" t="s">
        <v>648</v>
      </c>
      <c r="C40" t="s">
        <v>918</v>
      </c>
      <c r="D40" t="s">
        <v>648</v>
      </c>
      <c r="E40" t="s">
        <v>647</v>
      </c>
      <c r="F40" t="s">
        <v>891</v>
      </c>
      <c r="G40" t="s">
        <v>891</v>
      </c>
    </row>
    <row r="41" spans="1:7" x14ac:dyDescent="0.25">
      <c r="A41" t="s">
        <v>1071</v>
      </c>
      <c r="B41" t="s">
        <v>1072</v>
      </c>
      <c r="C41" t="s">
        <v>1073</v>
      </c>
      <c r="D41" t="s">
        <v>1072</v>
      </c>
      <c r="E41" t="s">
        <v>1074</v>
      </c>
      <c r="F41" t="s">
        <v>891</v>
      </c>
      <c r="G41" t="s">
        <v>891</v>
      </c>
    </row>
    <row r="42" spans="1:7" x14ac:dyDescent="0.25">
      <c r="A42" t="s">
        <v>908</v>
      </c>
      <c r="B42" t="s">
        <v>324</v>
      </c>
      <c r="C42" t="s">
        <v>200</v>
      </c>
      <c r="D42" t="s">
        <v>891</v>
      </c>
      <c r="E42" t="s">
        <v>891</v>
      </c>
      <c r="F42" t="s">
        <v>891</v>
      </c>
      <c r="G42" t="s">
        <v>891</v>
      </c>
    </row>
    <row r="43" spans="1:7" x14ac:dyDescent="0.25">
      <c r="A43" t="s">
        <v>909</v>
      </c>
      <c r="B43" t="s">
        <v>528</v>
      </c>
      <c r="C43" t="s">
        <v>920</v>
      </c>
      <c r="D43" t="s">
        <v>528</v>
      </c>
      <c r="E43" t="s">
        <v>509</v>
      </c>
      <c r="F43" t="s">
        <v>891</v>
      </c>
      <c r="G43" t="s">
        <v>891</v>
      </c>
    </row>
    <row r="44" spans="1:7" x14ac:dyDescent="0.25">
      <c r="A44" t="s">
        <v>910</v>
      </c>
      <c r="B44" t="s">
        <v>529</v>
      </c>
      <c r="C44" t="s">
        <v>920</v>
      </c>
      <c r="D44" t="s">
        <v>529</v>
      </c>
      <c r="E44" t="s">
        <v>510</v>
      </c>
      <c r="F44" t="s">
        <v>891</v>
      </c>
      <c r="G44" t="s">
        <v>891</v>
      </c>
    </row>
    <row r="45" spans="1:7" x14ac:dyDescent="0.25">
      <c r="A45" t="s">
        <v>897</v>
      </c>
      <c r="B45" t="s">
        <v>285</v>
      </c>
      <c r="C45" t="s">
        <v>246</v>
      </c>
      <c r="D45" t="s">
        <v>285</v>
      </c>
      <c r="E45" t="s">
        <v>17</v>
      </c>
      <c r="F45" t="s">
        <v>891</v>
      </c>
      <c r="G45" t="s">
        <v>891</v>
      </c>
    </row>
    <row r="46" spans="1:7" s="3" customFormat="1" x14ac:dyDescent="0.25">
      <c r="A46" s="3" t="s">
        <v>898</v>
      </c>
      <c r="B46" s="3" t="s">
        <v>563</v>
      </c>
      <c r="C46" s="3" t="s">
        <v>915</v>
      </c>
      <c r="D46" s="3" t="s">
        <v>891</v>
      </c>
      <c r="E46" s="3" t="s">
        <v>891</v>
      </c>
      <c r="F46" s="3" t="s">
        <v>891</v>
      </c>
      <c r="G46" s="3" t="s">
        <v>891</v>
      </c>
    </row>
    <row r="47" spans="1:7" s="3" customFormat="1" x14ac:dyDescent="0.25">
      <c r="A47" s="3" t="s">
        <v>899</v>
      </c>
      <c r="B47" s="3" t="s">
        <v>564</v>
      </c>
      <c r="C47" s="3" t="s">
        <v>915</v>
      </c>
      <c r="D47" s="3" t="s">
        <v>891</v>
      </c>
      <c r="E47" s="3" t="s">
        <v>891</v>
      </c>
      <c r="F47" s="3" t="s">
        <v>891</v>
      </c>
      <c r="G47" s="3" t="s">
        <v>891</v>
      </c>
    </row>
    <row r="48" spans="1:7" s="3" customFormat="1" x14ac:dyDescent="0.25">
      <c r="A48" s="3" t="s">
        <v>900</v>
      </c>
      <c r="B48" s="3" t="s">
        <v>426</v>
      </c>
      <c r="C48" s="3" t="s">
        <v>915</v>
      </c>
      <c r="D48" s="3" t="s">
        <v>891</v>
      </c>
      <c r="E48" s="3" t="s">
        <v>891</v>
      </c>
      <c r="F48" s="3" t="s">
        <v>891</v>
      </c>
      <c r="G48" s="3" t="s">
        <v>891</v>
      </c>
    </row>
    <row r="49" spans="1:7" s="3" customFormat="1" x14ac:dyDescent="0.25">
      <c r="A49" s="3" t="s">
        <v>901</v>
      </c>
      <c r="B49" s="3" t="s">
        <v>565</v>
      </c>
      <c r="C49" s="3" t="s">
        <v>915</v>
      </c>
      <c r="D49" s="3" t="s">
        <v>891</v>
      </c>
      <c r="E49" s="3" t="s">
        <v>891</v>
      </c>
      <c r="F49" s="3" t="s">
        <v>891</v>
      </c>
      <c r="G49" s="3" t="s">
        <v>891</v>
      </c>
    </row>
  </sheetData>
  <autoFilter ref="A1:G1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zoomScale="85" zoomScaleNormal="85" workbookViewId="0">
      <pane ySplit="1" topLeftCell="A17" activePane="bottomLeft" state="frozen"/>
      <selection pane="bottomLeft" activeCell="C30" sqref="C30"/>
    </sheetView>
  </sheetViews>
  <sheetFormatPr defaultRowHeight="15" x14ac:dyDescent="0.25"/>
  <cols>
    <col min="1" max="1" width="18.28515625" bestFit="1" customWidth="1"/>
    <col min="2" max="2" width="32.42578125" bestFit="1" customWidth="1"/>
    <col min="3" max="3" width="110" bestFit="1" customWidth="1"/>
    <col min="4" max="4" width="32.42578125" bestFit="1" customWidth="1"/>
    <col min="5" max="5" width="13.42578125" bestFit="1" customWidth="1"/>
    <col min="6" max="6" width="9.28515625" bestFit="1" customWidth="1"/>
    <col min="7" max="7" width="20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x14ac:dyDescent="0.25">
      <c r="A2" t="s">
        <v>897</v>
      </c>
      <c r="B2" t="s">
        <v>285</v>
      </c>
      <c r="C2" t="s">
        <v>246</v>
      </c>
      <c r="D2" t="s">
        <v>285</v>
      </c>
      <c r="E2" t="s">
        <v>17</v>
      </c>
      <c r="F2" t="s">
        <v>891</v>
      </c>
      <c r="G2" t="s">
        <v>891</v>
      </c>
    </row>
    <row r="3" spans="1:7" s="3" customFormat="1" x14ac:dyDescent="0.25">
      <c r="A3" s="3" t="s">
        <v>898</v>
      </c>
      <c r="B3" s="3" t="s">
        <v>563</v>
      </c>
      <c r="C3" s="3" t="s">
        <v>915</v>
      </c>
      <c r="D3" s="3" t="s">
        <v>891</v>
      </c>
      <c r="E3" s="3" t="s">
        <v>891</v>
      </c>
      <c r="F3" s="3" t="s">
        <v>891</v>
      </c>
      <c r="G3" s="3" t="s">
        <v>311</v>
      </c>
    </row>
    <row r="4" spans="1:7" s="3" customFormat="1" x14ac:dyDescent="0.25">
      <c r="A4" s="3" t="s">
        <v>899</v>
      </c>
      <c r="B4" s="3" t="s">
        <v>564</v>
      </c>
      <c r="C4" s="3" t="s">
        <v>915</v>
      </c>
      <c r="D4" s="3" t="s">
        <v>891</v>
      </c>
      <c r="E4" s="3" t="s">
        <v>891</v>
      </c>
      <c r="F4" s="3" t="s">
        <v>891</v>
      </c>
      <c r="G4" s="3" t="s">
        <v>311</v>
      </c>
    </row>
    <row r="5" spans="1:7" s="3" customFormat="1" x14ac:dyDescent="0.25">
      <c r="A5" s="3" t="s">
        <v>900</v>
      </c>
      <c r="B5" s="3" t="s">
        <v>426</v>
      </c>
      <c r="C5" s="3" t="s">
        <v>915</v>
      </c>
      <c r="D5" s="3" t="s">
        <v>891</v>
      </c>
      <c r="E5" s="3" t="s">
        <v>891</v>
      </c>
      <c r="F5" s="3" t="s">
        <v>891</v>
      </c>
      <c r="G5" s="3" t="s">
        <v>311</v>
      </c>
    </row>
    <row r="6" spans="1:7" s="3" customFormat="1" x14ac:dyDescent="0.25">
      <c r="A6" s="3" t="s">
        <v>901</v>
      </c>
      <c r="B6" s="3" t="s">
        <v>565</v>
      </c>
      <c r="C6" s="3" t="s">
        <v>915</v>
      </c>
      <c r="D6" s="3" t="s">
        <v>891</v>
      </c>
      <c r="E6" s="3" t="s">
        <v>891</v>
      </c>
      <c r="F6" s="3" t="s">
        <v>891</v>
      </c>
      <c r="G6" s="3" t="s">
        <v>311</v>
      </c>
    </row>
    <row r="7" spans="1:7" s="3" customFormat="1" x14ac:dyDescent="0.25">
      <c r="A7" s="3" t="s">
        <v>1078</v>
      </c>
      <c r="B7" s="3" t="s">
        <v>1079</v>
      </c>
      <c r="C7" s="3" t="s">
        <v>1080</v>
      </c>
      <c r="D7" s="3" t="s">
        <v>891</v>
      </c>
      <c r="E7" s="3" t="s">
        <v>891</v>
      </c>
      <c r="F7" s="3" t="s">
        <v>891</v>
      </c>
      <c r="G7" s="3" t="s">
        <v>311</v>
      </c>
    </row>
    <row r="8" spans="1:7" s="3" customFormat="1" x14ac:dyDescent="0.25">
      <c r="A8" s="3" t="s">
        <v>1081</v>
      </c>
      <c r="B8" s="3" t="s">
        <v>1082</v>
      </c>
      <c r="C8" s="3" t="s">
        <v>1080</v>
      </c>
      <c r="D8" s="3" t="s">
        <v>891</v>
      </c>
      <c r="E8" s="3" t="s">
        <v>891</v>
      </c>
      <c r="F8" s="3" t="s">
        <v>891</v>
      </c>
      <c r="G8" s="3" t="s">
        <v>311</v>
      </c>
    </row>
    <row r="9" spans="1:7" s="3" customFormat="1" x14ac:dyDescent="0.25">
      <c r="A9" s="3" t="s">
        <v>1083</v>
      </c>
      <c r="B9" s="3" t="s">
        <v>1084</v>
      </c>
      <c r="C9" s="3" t="s">
        <v>1080</v>
      </c>
      <c r="D9" s="3" t="s">
        <v>891</v>
      </c>
      <c r="E9" s="3" t="s">
        <v>891</v>
      </c>
      <c r="F9" s="3" t="s">
        <v>891</v>
      </c>
      <c r="G9" s="3" t="s">
        <v>311</v>
      </c>
    </row>
    <row r="10" spans="1:7" s="3" customFormat="1" x14ac:dyDescent="0.25">
      <c r="A10" s="3" t="s">
        <v>1085</v>
      </c>
      <c r="B10" s="3" t="s">
        <v>1086</v>
      </c>
      <c r="C10" s="3" t="s">
        <v>1080</v>
      </c>
      <c r="D10" s="3" t="s">
        <v>891</v>
      </c>
      <c r="E10" s="3" t="s">
        <v>891</v>
      </c>
      <c r="F10" s="3" t="s">
        <v>891</v>
      </c>
      <c r="G10" s="3" t="s">
        <v>311</v>
      </c>
    </row>
    <row r="11" spans="1:7" x14ac:dyDescent="0.25">
      <c r="A11" t="s">
        <v>905</v>
      </c>
      <c r="B11" t="s">
        <v>525</v>
      </c>
      <c r="C11" t="s">
        <v>917</v>
      </c>
      <c r="D11" t="s">
        <v>525</v>
      </c>
      <c r="E11" t="s">
        <v>507</v>
      </c>
      <c r="F11" t="s">
        <v>891</v>
      </c>
      <c r="G11" t="s">
        <v>891</v>
      </c>
    </row>
    <row r="12" spans="1:7" x14ac:dyDescent="0.25">
      <c r="A12" t="s">
        <v>906</v>
      </c>
      <c r="B12" t="s">
        <v>648</v>
      </c>
      <c r="C12" t="s">
        <v>918</v>
      </c>
      <c r="D12" t="s">
        <v>648</v>
      </c>
      <c r="E12" t="s">
        <v>647</v>
      </c>
      <c r="F12" t="s">
        <v>891</v>
      </c>
      <c r="G12" t="s">
        <v>891</v>
      </c>
    </row>
    <row r="13" spans="1:7" s="3" customFormat="1" x14ac:dyDescent="0.25">
      <c r="A13" s="3" t="s">
        <v>1087</v>
      </c>
      <c r="B13" s="3" t="s">
        <v>1088</v>
      </c>
      <c r="C13" s="3" t="s">
        <v>1080</v>
      </c>
      <c r="D13" s="3" t="s">
        <v>891</v>
      </c>
      <c r="E13" s="3" t="s">
        <v>891</v>
      </c>
      <c r="F13" s="3" t="s">
        <v>891</v>
      </c>
      <c r="G13" s="3" t="s">
        <v>311</v>
      </c>
    </row>
    <row r="14" spans="1:7" s="3" customFormat="1" x14ac:dyDescent="0.25">
      <c r="A14" s="3" t="s">
        <v>1071</v>
      </c>
      <c r="B14" s="3" t="s">
        <v>1072</v>
      </c>
      <c r="C14" s="3" t="s">
        <v>1073</v>
      </c>
      <c r="D14" s="3" t="s">
        <v>891</v>
      </c>
      <c r="E14" s="3" t="s">
        <v>891</v>
      </c>
      <c r="F14" s="3" t="s">
        <v>891</v>
      </c>
      <c r="G14" s="3" t="s">
        <v>311</v>
      </c>
    </row>
    <row r="15" spans="1:7" s="3" customFormat="1" x14ac:dyDescent="0.25">
      <c r="A15" s="3" t="s">
        <v>908</v>
      </c>
      <c r="B15" s="3" t="s">
        <v>324</v>
      </c>
      <c r="C15" s="3" t="s">
        <v>200</v>
      </c>
      <c r="D15" s="3" t="s">
        <v>891</v>
      </c>
      <c r="E15" s="3" t="s">
        <v>891</v>
      </c>
      <c r="F15" s="3" t="s">
        <v>891</v>
      </c>
      <c r="G15" s="3" t="s">
        <v>311</v>
      </c>
    </row>
    <row r="16" spans="1:7" x14ac:dyDescent="0.25">
      <c r="A16" t="s">
        <v>909</v>
      </c>
      <c r="B16" t="s">
        <v>528</v>
      </c>
      <c r="C16" t="s">
        <v>920</v>
      </c>
      <c r="D16" t="s">
        <v>528</v>
      </c>
      <c r="E16" t="s">
        <v>509</v>
      </c>
      <c r="F16" t="s">
        <v>891</v>
      </c>
      <c r="G16" t="s">
        <v>891</v>
      </c>
    </row>
    <row r="17" spans="1:7" x14ac:dyDescent="0.25">
      <c r="A17" t="s">
        <v>910</v>
      </c>
      <c r="B17" t="s">
        <v>529</v>
      </c>
      <c r="C17" t="s">
        <v>920</v>
      </c>
      <c r="D17" t="s">
        <v>529</v>
      </c>
      <c r="E17" t="s">
        <v>510</v>
      </c>
      <c r="F17" t="s">
        <v>891</v>
      </c>
      <c r="G17" t="s">
        <v>891</v>
      </c>
    </row>
    <row r="18" spans="1:7" x14ac:dyDescent="0.25">
      <c r="A18" t="s">
        <v>1089</v>
      </c>
      <c r="B18" t="s">
        <v>1090</v>
      </c>
      <c r="C18" t="s">
        <v>1091</v>
      </c>
      <c r="D18" t="s">
        <v>891</v>
      </c>
      <c r="E18" t="s">
        <v>891</v>
      </c>
      <c r="F18" t="s">
        <v>891</v>
      </c>
      <c r="G18" t="s">
        <v>891</v>
      </c>
    </row>
    <row r="19" spans="1:7" s="3" customFormat="1" x14ac:dyDescent="0.25">
      <c r="A19" s="3" t="s">
        <v>983</v>
      </c>
      <c r="B19" s="3" t="s">
        <v>984</v>
      </c>
      <c r="C19" s="3" t="s">
        <v>982</v>
      </c>
      <c r="D19" s="3" t="s">
        <v>891</v>
      </c>
      <c r="E19" s="3" t="s">
        <v>891</v>
      </c>
      <c r="F19" s="3" t="s">
        <v>891</v>
      </c>
      <c r="G19" s="3" t="s">
        <v>311</v>
      </c>
    </row>
    <row r="20" spans="1:7" x14ac:dyDescent="0.25">
      <c r="A20" t="s">
        <v>993</v>
      </c>
      <c r="B20" t="s">
        <v>994</v>
      </c>
      <c r="C20" t="s">
        <v>1092</v>
      </c>
      <c r="D20" t="s">
        <v>891</v>
      </c>
      <c r="E20" t="s">
        <v>891</v>
      </c>
      <c r="F20" t="s">
        <v>891</v>
      </c>
      <c r="G20" t="s">
        <v>891</v>
      </c>
    </row>
    <row r="21" spans="1:7" s="3" customFormat="1" x14ac:dyDescent="0.25">
      <c r="A21" s="3" t="s">
        <v>1093</v>
      </c>
      <c r="B21" s="3" t="s">
        <v>1094</v>
      </c>
      <c r="C21" s="3" t="s">
        <v>1080</v>
      </c>
      <c r="D21" s="3" t="s">
        <v>891</v>
      </c>
      <c r="E21" s="3" t="s">
        <v>891</v>
      </c>
      <c r="F21" s="3" t="s">
        <v>891</v>
      </c>
      <c r="G21" s="3" t="s">
        <v>311</v>
      </c>
    </row>
    <row r="22" spans="1:7" s="3" customFormat="1" x14ac:dyDescent="0.25">
      <c r="A22" s="3" t="s">
        <v>1095</v>
      </c>
      <c r="B22" s="3" t="s">
        <v>1096</v>
      </c>
      <c r="C22" s="3" t="s">
        <v>1080</v>
      </c>
      <c r="D22" s="3" t="s">
        <v>891</v>
      </c>
      <c r="E22" s="3" t="s">
        <v>891</v>
      </c>
      <c r="F22" s="3" t="s">
        <v>891</v>
      </c>
      <c r="G22" s="3" t="s">
        <v>311</v>
      </c>
    </row>
    <row r="23" spans="1:7" s="3" customFormat="1" x14ac:dyDescent="0.25">
      <c r="A23" s="3" t="s">
        <v>1097</v>
      </c>
      <c r="B23" s="3" t="s">
        <v>1098</v>
      </c>
      <c r="C23" s="3" t="s">
        <v>1080</v>
      </c>
      <c r="D23" s="3" t="s">
        <v>891</v>
      </c>
      <c r="E23" s="3" t="s">
        <v>891</v>
      </c>
      <c r="F23" s="3" t="s">
        <v>891</v>
      </c>
      <c r="G23" s="3" t="s">
        <v>311</v>
      </c>
    </row>
    <row r="24" spans="1:7" s="3" customFormat="1" x14ac:dyDescent="0.25">
      <c r="A24" s="3" t="s">
        <v>1099</v>
      </c>
      <c r="B24" s="3" t="s">
        <v>1100</v>
      </c>
      <c r="C24" s="3" t="s">
        <v>1080</v>
      </c>
      <c r="D24" s="3" t="s">
        <v>891</v>
      </c>
      <c r="E24" s="3" t="s">
        <v>891</v>
      </c>
      <c r="F24" s="3" t="s">
        <v>891</v>
      </c>
      <c r="G24" s="3" t="s">
        <v>311</v>
      </c>
    </row>
    <row r="25" spans="1:7" s="3" customFormat="1" x14ac:dyDescent="0.25">
      <c r="A25" s="3" t="s">
        <v>1101</v>
      </c>
      <c r="B25" s="3" t="s">
        <v>1102</v>
      </c>
      <c r="C25" s="3" t="s">
        <v>1080</v>
      </c>
      <c r="D25" s="3" t="s">
        <v>891</v>
      </c>
      <c r="E25" s="3" t="s">
        <v>891</v>
      </c>
      <c r="F25" s="3" t="s">
        <v>891</v>
      </c>
      <c r="G25" s="3" t="s">
        <v>311</v>
      </c>
    </row>
    <row r="26" spans="1:7" s="3" customFormat="1" x14ac:dyDescent="0.25">
      <c r="A26" s="3" t="s">
        <v>1018</v>
      </c>
      <c r="B26" s="3" t="s">
        <v>1019</v>
      </c>
      <c r="C26" s="3" t="s">
        <v>960</v>
      </c>
      <c r="D26" s="3" t="s">
        <v>891</v>
      </c>
      <c r="E26" s="3" t="s">
        <v>891</v>
      </c>
      <c r="F26" s="3" t="s">
        <v>891</v>
      </c>
      <c r="G26" s="3" t="s">
        <v>311</v>
      </c>
    </row>
    <row r="27" spans="1:7" s="3" customFormat="1" x14ac:dyDescent="0.25">
      <c r="A27" s="3" t="s">
        <v>1103</v>
      </c>
      <c r="B27" s="3" t="s">
        <v>1104</v>
      </c>
      <c r="C27" s="3" t="s">
        <v>1080</v>
      </c>
      <c r="D27" s="3" t="s">
        <v>891</v>
      </c>
      <c r="E27" s="3" t="s">
        <v>891</v>
      </c>
      <c r="F27" s="3" t="s">
        <v>891</v>
      </c>
      <c r="G27" s="3" t="s">
        <v>311</v>
      </c>
    </row>
    <row r="28" spans="1:7" s="3" customFormat="1" x14ac:dyDescent="0.25">
      <c r="A28" s="3" t="s">
        <v>1023</v>
      </c>
      <c r="B28" s="3" t="s">
        <v>1024</v>
      </c>
      <c r="C28" s="3" t="s">
        <v>203</v>
      </c>
      <c r="D28" s="3" t="s">
        <v>891</v>
      </c>
      <c r="E28" s="3" t="s">
        <v>891</v>
      </c>
      <c r="F28" s="3" t="s">
        <v>891</v>
      </c>
      <c r="G28" s="3" t="s">
        <v>311</v>
      </c>
    </row>
    <row r="29" spans="1:7" s="3" customFormat="1" x14ac:dyDescent="0.25">
      <c r="A29" s="3" t="s">
        <v>1025</v>
      </c>
      <c r="B29" s="3" t="s">
        <v>1026</v>
      </c>
      <c r="C29" s="3" t="s">
        <v>1027</v>
      </c>
      <c r="D29" s="3" t="s">
        <v>891</v>
      </c>
      <c r="E29" s="3" t="s">
        <v>891</v>
      </c>
      <c r="F29" s="3" t="s">
        <v>891</v>
      </c>
      <c r="G29" s="3" t="s">
        <v>311</v>
      </c>
    </row>
    <row r="30" spans="1:7" x14ac:dyDescent="0.25">
      <c r="A30" t="s">
        <v>1028</v>
      </c>
      <c r="B30" t="s">
        <v>1029</v>
      </c>
      <c r="C30" t="s">
        <v>1030</v>
      </c>
      <c r="D30" t="s">
        <v>1029</v>
      </c>
      <c r="E30" t="s">
        <v>1031</v>
      </c>
      <c r="F30" t="s">
        <v>891</v>
      </c>
      <c r="G30" t="s">
        <v>891</v>
      </c>
    </row>
    <row r="31" spans="1:7" x14ac:dyDescent="0.25">
      <c r="A31" t="s">
        <v>1032</v>
      </c>
      <c r="B31" t="s">
        <v>1033</v>
      </c>
      <c r="C31" t="s">
        <v>1030</v>
      </c>
      <c r="D31" t="s">
        <v>1033</v>
      </c>
      <c r="E31" t="s">
        <v>1034</v>
      </c>
      <c r="F31" t="s">
        <v>891</v>
      </c>
      <c r="G31" t="s">
        <v>891</v>
      </c>
    </row>
    <row r="32" spans="1:7" s="3" customFormat="1" x14ac:dyDescent="0.25">
      <c r="A32" s="3" t="s">
        <v>1035</v>
      </c>
      <c r="B32" s="3" t="s">
        <v>1036</v>
      </c>
      <c r="C32" s="3" t="s">
        <v>1037</v>
      </c>
      <c r="D32" s="3" t="s">
        <v>891</v>
      </c>
      <c r="E32" s="3" t="s">
        <v>891</v>
      </c>
      <c r="F32" s="3" t="s">
        <v>891</v>
      </c>
      <c r="G32" s="3" t="s">
        <v>311</v>
      </c>
    </row>
    <row r="33" spans="1:7" x14ac:dyDescent="0.25">
      <c r="A33" t="s">
        <v>1038</v>
      </c>
      <c r="B33" t="s">
        <v>1039</v>
      </c>
      <c r="C33" t="s">
        <v>1105</v>
      </c>
      <c r="D33" t="s">
        <v>1039</v>
      </c>
      <c r="E33" t="s">
        <v>1040</v>
      </c>
      <c r="F33" t="s">
        <v>891</v>
      </c>
      <c r="G33" t="s">
        <v>891</v>
      </c>
    </row>
    <row r="34" spans="1:7" s="3" customFormat="1" x14ac:dyDescent="0.25">
      <c r="A34" s="3" t="s">
        <v>1041</v>
      </c>
      <c r="B34" s="3" t="s">
        <v>1042</v>
      </c>
      <c r="C34" s="3" t="s">
        <v>1043</v>
      </c>
      <c r="D34" s="3" t="s">
        <v>891</v>
      </c>
      <c r="E34" s="3" t="s">
        <v>891</v>
      </c>
      <c r="F34" s="3" t="s">
        <v>85</v>
      </c>
      <c r="G34" s="3" t="s">
        <v>1110</v>
      </c>
    </row>
    <row r="35" spans="1:7" s="3" customFormat="1" x14ac:dyDescent="0.25">
      <c r="A35" s="3" t="s">
        <v>1044</v>
      </c>
      <c r="B35" s="3" t="s">
        <v>1045</v>
      </c>
      <c r="C35" s="3" t="s">
        <v>1043</v>
      </c>
      <c r="D35" s="3" t="s">
        <v>891</v>
      </c>
      <c r="E35" s="3" t="s">
        <v>891</v>
      </c>
      <c r="F35" s="3" t="s">
        <v>85</v>
      </c>
      <c r="G35" s="3" t="s">
        <v>1110</v>
      </c>
    </row>
    <row r="36" spans="1:7" s="3" customFormat="1" x14ac:dyDescent="0.25">
      <c r="A36" s="3" t="s">
        <v>1046</v>
      </c>
      <c r="B36" s="3" t="s">
        <v>1047</v>
      </c>
      <c r="C36" s="3" t="s">
        <v>1043</v>
      </c>
      <c r="D36" s="3" t="s">
        <v>891</v>
      </c>
      <c r="E36" s="3" t="s">
        <v>891</v>
      </c>
      <c r="F36" s="3" t="s">
        <v>85</v>
      </c>
      <c r="G36" s="3" t="s">
        <v>1110</v>
      </c>
    </row>
    <row r="37" spans="1:7" s="3" customFormat="1" x14ac:dyDescent="0.25">
      <c r="A37" s="3" t="s">
        <v>1048</v>
      </c>
      <c r="B37" s="3" t="s">
        <v>1049</v>
      </c>
      <c r="C37" s="3" t="s">
        <v>1043</v>
      </c>
      <c r="D37" s="3" t="s">
        <v>891</v>
      </c>
      <c r="E37" s="3" t="s">
        <v>891</v>
      </c>
      <c r="F37" s="3" t="s">
        <v>85</v>
      </c>
      <c r="G37" s="3" t="s">
        <v>1110</v>
      </c>
    </row>
    <row r="38" spans="1:7" s="3" customFormat="1" x14ac:dyDescent="0.25">
      <c r="A38" s="3" t="s">
        <v>1050</v>
      </c>
      <c r="B38" s="3" t="s">
        <v>1051</v>
      </c>
      <c r="C38" s="3" t="s">
        <v>1043</v>
      </c>
      <c r="D38" s="3" t="s">
        <v>891</v>
      </c>
      <c r="E38" s="3" t="s">
        <v>891</v>
      </c>
      <c r="F38" s="3" t="s">
        <v>85</v>
      </c>
      <c r="G38" s="3" t="s">
        <v>1110</v>
      </c>
    </row>
    <row r="39" spans="1:7" s="3" customFormat="1" x14ac:dyDescent="0.25">
      <c r="A39" s="3" t="s">
        <v>1052</v>
      </c>
      <c r="B39" s="3" t="s">
        <v>1053</v>
      </c>
      <c r="C39" s="3" t="s">
        <v>1043</v>
      </c>
      <c r="D39" s="3" t="s">
        <v>891</v>
      </c>
      <c r="E39" s="3" t="s">
        <v>891</v>
      </c>
      <c r="F39" s="3" t="s">
        <v>85</v>
      </c>
      <c r="G39" s="3" t="s">
        <v>1110</v>
      </c>
    </row>
    <row r="40" spans="1:7" s="3" customFormat="1" x14ac:dyDescent="0.25">
      <c r="A40" s="3" t="s">
        <v>1054</v>
      </c>
      <c r="B40" s="3" t="s">
        <v>1055</v>
      </c>
      <c r="C40" s="3" t="s">
        <v>982</v>
      </c>
      <c r="D40" s="3" t="s">
        <v>891</v>
      </c>
      <c r="E40" s="3" t="s">
        <v>891</v>
      </c>
      <c r="F40" s="3" t="s">
        <v>85</v>
      </c>
      <c r="G40" s="3" t="s">
        <v>1110</v>
      </c>
    </row>
    <row r="41" spans="1:7" s="3" customFormat="1" x14ac:dyDescent="0.25">
      <c r="A41" s="3" t="s">
        <v>1056</v>
      </c>
      <c r="B41" s="3" t="s">
        <v>1057</v>
      </c>
      <c r="C41" s="3" t="s">
        <v>982</v>
      </c>
      <c r="D41" s="3" t="s">
        <v>891</v>
      </c>
      <c r="E41" s="3" t="s">
        <v>891</v>
      </c>
      <c r="F41" s="3" t="s">
        <v>85</v>
      </c>
      <c r="G41" s="3" t="s">
        <v>1110</v>
      </c>
    </row>
    <row r="42" spans="1:7" s="3" customFormat="1" x14ac:dyDescent="0.25">
      <c r="A42" s="3" t="s">
        <v>1058</v>
      </c>
      <c r="B42" s="3" t="s">
        <v>1059</v>
      </c>
      <c r="C42" s="3" t="s">
        <v>982</v>
      </c>
      <c r="D42" s="3" t="s">
        <v>891</v>
      </c>
      <c r="E42" s="3" t="s">
        <v>891</v>
      </c>
      <c r="F42" s="3" t="s">
        <v>85</v>
      </c>
      <c r="G42" s="3" t="s">
        <v>1110</v>
      </c>
    </row>
    <row r="43" spans="1:7" s="3" customFormat="1" x14ac:dyDescent="0.25">
      <c r="A43" s="3" t="s">
        <v>1060</v>
      </c>
      <c r="B43" s="3" t="s">
        <v>1061</v>
      </c>
      <c r="C43" s="3" t="s">
        <v>982</v>
      </c>
      <c r="D43" s="3" t="s">
        <v>891</v>
      </c>
      <c r="E43" s="3" t="s">
        <v>891</v>
      </c>
      <c r="F43" s="3" t="s">
        <v>85</v>
      </c>
      <c r="G43" s="3" t="s">
        <v>1110</v>
      </c>
    </row>
    <row r="44" spans="1:7" s="3" customFormat="1" x14ac:dyDescent="0.25">
      <c r="A44" s="3" t="s">
        <v>1062</v>
      </c>
      <c r="B44" s="3" t="s">
        <v>1063</v>
      </c>
      <c r="C44" s="3" t="s">
        <v>982</v>
      </c>
      <c r="D44" s="3" t="s">
        <v>891</v>
      </c>
      <c r="E44" s="3" t="s">
        <v>891</v>
      </c>
      <c r="F44" s="3" t="s">
        <v>85</v>
      </c>
      <c r="G44" s="3" t="s">
        <v>1110</v>
      </c>
    </row>
    <row r="45" spans="1:7" s="3" customFormat="1" x14ac:dyDescent="0.25">
      <c r="A45" s="3" t="s">
        <v>1064</v>
      </c>
      <c r="B45" s="3" t="s">
        <v>1065</v>
      </c>
      <c r="C45" s="3" t="s">
        <v>982</v>
      </c>
      <c r="D45" s="3" t="s">
        <v>891</v>
      </c>
      <c r="E45" s="3" t="s">
        <v>891</v>
      </c>
      <c r="F45" s="3" t="s">
        <v>85</v>
      </c>
      <c r="G45" s="3" t="s">
        <v>1110</v>
      </c>
    </row>
    <row r="46" spans="1:7" s="3" customFormat="1" x14ac:dyDescent="0.25">
      <c r="A46" s="3" t="s">
        <v>1106</v>
      </c>
      <c r="B46" s="3" t="s">
        <v>1107</v>
      </c>
      <c r="C46" s="3" t="s">
        <v>1080</v>
      </c>
      <c r="D46" s="3" t="s">
        <v>891</v>
      </c>
      <c r="E46" s="3" t="s">
        <v>891</v>
      </c>
      <c r="F46" s="3" t="s">
        <v>85</v>
      </c>
      <c r="G46" s="3" t="s">
        <v>1110</v>
      </c>
    </row>
    <row r="47" spans="1:7" s="3" customFormat="1" x14ac:dyDescent="0.25">
      <c r="A47" s="3" t="s">
        <v>1108</v>
      </c>
      <c r="B47" s="3" t="s">
        <v>1109</v>
      </c>
      <c r="C47" s="3" t="s">
        <v>1080</v>
      </c>
      <c r="D47" s="3" t="s">
        <v>891</v>
      </c>
      <c r="E47" s="3" t="s">
        <v>891</v>
      </c>
      <c r="F47" s="3" t="s">
        <v>85</v>
      </c>
      <c r="G47" s="3" t="s">
        <v>1110</v>
      </c>
    </row>
    <row r="48" spans="1:7" s="3" customFormat="1" x14ac:dyDescent="0.25">
      <c r="A48" s="3" t="s">
        <v>1066</v>
      </c>
      <c r="B48" s="3" t="s">
        <v>1067</v>
      </c>
      <c r="C48" s="3" t="s">
        <v>1068</v>
      </c>
      <c r="D48" s="3" t="s">
        <v>891</v>
      </c>
      <c r="E48" s="3" t="s">
        <v>891</v>
      </c>
      <c r="F48" s="3" t="s">
        <v>85</v>
      </c>
      <c r="G48" s="3" t="s">
        <v>1110</v>
      </c>
    </row>
    <row r="49" spans="1:7" s="3" customFormat="1" x14ac:dyDescent="0.25">
      <c r="A49" s="3" t="s">
        <v>1069</v>
      </c>
      <c r="B49" s="3" t="s">
        <v>1070</v>
      </c>
      <c r="C49" s="3" t="s">
        <v>1068</v>
      </c>
      <c r="D49" s="3" t="s">
        <v>891</v>
      </c>
      <c r="E49" s="3" t="s">
        <v>891</v>
      </c>
      <c r="F49" s="3" t="s">
        <v>85</v>
      </c>
      <c r="G49" s="3" t="s">
        <v>1110</v>
      </c>
    </row>
  </sheetData>
  <autoFilter ref="A1:G1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zoomScale="85" zoomScaleNormal="85" workbookViewId="0">
      <pane ySplit="1" topLeftCell="A2" activePane="bottomLeft" state="frozen"/>
      <selection pane="bottomLeft" activeCell="B28" sqref="B28"/>
    </sheetView>
  </sheetViews>
  <sheetFormatPr defaultRowHeight="15" x14ac:dyDescent="0.25"/>
  <cols>
    <col min="1" max="1" width="19.28515625" bestFit="1" customWidth="1"/>
    <col min="2" max="2" width="33.42578125" bestFit="1" customWidth="1"/>
    <col min="3" max="3" width="114.28515625" bestFit="1" customWidth="1"/>
    <col min="4" max="4" width="33.42578125" bestFit="1" customWidth="1"/>
    <col min="5" max="5" width="13.42578125" bestFit="1" customWidth="1"/>
    <col min="6" max="6" width="9.28515625" bestFit="1" customWidth="1"/>
    <col min="7" max="7" width="15.5703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s="2" customFormat="1" x14ac:dyDescent="0.25">
      <c r="A2" s="3" t="s">
        <v>1111</v>
      </c>
      <c r="B2" s="3" t="s">
        <v>1112</v>
      </c>
      <c r="C2" s="3" t="s">
        <v>1113</v>
      </c>
      <c r="D2" s="3" t="s">
        <v>891</v>
      </c>
      <c r="E2" s="3" t="s">
        <v>891</v>
      </c>
      <c r="F2" s="3" t="s">
        <v>85</v>
      </c>
      <c r="G2" s="3" t="s">
        <v>311</v>
      </c>
    </row>
    <row r="3" spans="1:7" s="2" customFormat="1" x14ac:dyDescent="0.25">
      <c r="A3" s="3" t="s">
        <v>1114</v>
      </c>
      <c r="B3" s="3" t="s">
        <v>1115</v>
      </c>
      <c r="C3" s="3" t="s">
        <v>1113</v>
      </c>
      <c r="D3" s="3" t="s">
        <v>891</v>
      </c>
      <c r="E3" s="3" t="s">
        <v>891</v>
      </c>
      <c r="F3" s="3" t="s">
        <v>85</v>
      </c>
      <c r="G3" s="3" t="s">
        <v>311</v>
      </c>
    </row>
    <row r="4" spans="1:7" s="2" customFormat="1" x14ac:dyDescent="0.25">
      <c r="A4" s="3" t="s">
        <v>1116</v>
      </c>
      <c r="B4" s="3" t="s">
        <v>1117</v>
      </c>
      <c r="C4" s="3" t="s">
        <v>1113</v>
      </c>
      <c r="D4" s="3" t="s">
        <v>891</v>
      </c>
      <c r="E4" s="3" t="s">
        <v>891</v>
      </c>
      <c r="F4" s="3" t="s">
        <v>85</v>
      </c>
      <c r="G4" s="3" t="s">
        <v>311</v>
      </c>
    </row>
    <row r="5" spans="1:7" s="2" customFormat="1" x14ac:dyDescent="0.25">
      <c r="A5" s="3" t="s">
        <v>908</v>
      </c>
      <c r="B5" s="3" t="s">
        <v>324</v>
      </c>
      <c r="C5" s="3" t="s">
        <v>200</v>
      </c>
      <c r="D5" s="3" t="s">
        <v>891</v>
      </c>
      <c r="E5" s="3" t="s">
        <v>891</v>
      </c>
      <c r="F5" s="3" t="s">
        <v>85</v>
      </c>
      <c r="G5" s="3" t="s">
        <v>311</v>
      </c>
    </row>
    <row r="6" spans="1:7" s="2" customFormat="1" x14ac:dyDescent="0.25">
      <c r="A6" s="3" t="s">
        <v>1118</v>
      </c>
      <c r="B6" s="3" t="s">
        <v>1119</v>
      </c>
      <c r="C6" s="3" t="s">
        <v>1120</v>
      </c>
      <c r="D6" s="3" t="s">
        <v>891</v>
      </c>
      <c r="E6" s="3" t="s">
        <v>891</v>
      </c>
      <c r="F6" s="3" t="s">
        <v>85</v>
      </c>
      <c r="G6" s="3" t="s">
        <v>311</v>
      </c>
    </row>
    <row r="7" spans="1:7" s="2" customFormat="1" x14ac:dyDescent="0.25">
      <c r="A7" s="3" t="s">
        <v>969</v>
      </c>
      <c r="B7" s="3" t="s">
        <v>970</v>
      </c>
      <c r="C7" s="3" t="s">
        <v>971</v>
      </c>
      <c r="D7" s="3" t="s">
        <v>891</v>
      </c>
      <c r="E7" s="3" t="s">
        <v>891</v>
      </c>
      <c r="F7" s="3" t="s">
        <v>1125</v>
      </c>
      <c r="G7" s="3" t="s">
        <v>1126</v>
      </c>
    </row>
    <row r="8" spans="1:7" s="2" customFormat="1" x14ac:dyDescent="0.25">
      <c r="A8" s="3" t="s">
        <v>976</v>
      </c>
      <c r="B8" s="3" t="s">
        <v>977</v>
      </c>
      <c r="C8" s="3" t="s">
        <v>951</v>
      </c>
      <c r="D8" s="3" t="s">
        <v>891</v>
      </c>
      <c r="E8" s="3" t="s">
        <v>891</v>
      </c>
      <c r="F8" s="3" t="s">
        <v>1127</v>
      </c>
      <c r="G8" s="3" t="s">
        <v>311</v>
      </c>
    </row>
    <row r="9" spans="1:7" s="2" customFormat="1" x14ac:dyDescent="0.25">
      <c r="A9" s="3" t="s">
        <v>978</v>
      </c>
      <c r="B9" s="3" t="s">
        <v>979</v>
      </c>
      <c r="C9" s="3" t="s">
        <v>951</v>
      </c>
      <c r="D9" s="3" t="s">
        <v>891</v>
      </c>
      <c r="E9" s="3" t="s">
        <v>891</v>
      </c>
      <c r="F9" s="3" t="s">
        <v>1128</v>
      </c>
      <c r="G9" s="3" t="s">
        <v>311</v>
      </c>
    </row>
    <row r="10" spans="1:7" s="2" customFormat="1" x14ac:dyDescent="0.25">
      <c r="A10" s="3" t="s">
        <v>980</v>
      </c>
      <c r="B10" s="3" t="s">
        <v>981</v>
      </c>
      <c r="C10" s="3" t="s">
        <v>982</v>
      </c>
      <c r="D10" s="3" t="s">
        <v>891</v>
      </c>
      <c r="E10" s="3" t="s">
        <v>891</v>
      </c>
      <c r="F10" s="3" t="s">
        <v>85</v>
      </c>
      <c r="G10" s="3" t="s">
        <v>311</v>
      </c>
    </row>
    <row r="11" spans="1:7" s="2" customFormat="1" x14ac:dyDescent="0.25">
      <c r="A11" s="3" t="s">
        <v>983</v>
      </c>
      <c r="B11" s="3" t="s">
        <v>984</v>
      </c>
      <c r="C11" s="3" t="s">
        <v>982</v>
      </c>
      <c r="D11" s="3" t="s">
        <v>891</v>
      </c>
      <c r="E11" s="3" t="s">
        <v>891</v>
      </c>
      <c r="F11" s="3" t="s">
        <v>85</v>
      </c>
      <c r="G11" s="3" t="s">
        <v>311</v>
      </c>
    </row>
    <row r="12" spans="1:7" s="2" customFormat="1" x14ac:dyDescent="0.25">
      <c r="A12" s="3" t="s">
        <v>1093</v>
      </c>
      <c r="B12" s="3" t="s">
        <v>1094</v>
      </c>
      <c r="C12" s="3" t="s">
        <v>1080</v>
      </c>
      <c r="D12" s="3" t="s">
        <v>891</v>
      </c>
      <c r="E12" s="3" t="s">
        <v>891</v>
      </c>
      <c r="F12" s="3"/>
      <c r="G12" s="3" t="s">
        <v>891</v>
      </c>
    </row>
    <row r="13" spans="1:7" s="2" customFormat="1" x14ac:dyDescent="0.25">
      <c r="A13" s="3" t="s">
        <v>1095</v>
      </c>
      <c r="B13" s="3" t="s">
        <v>1096</v>
      </c>
      <c r="C13" s="3" t="s">
        <v>1080</v>
      </c>
      <c r="D13" s="3" t="s">
        <v>891</v>
      </c>
      <c r="E13" s="3" t="s">
        <v>891</v>
      </c>
      <c r="F13" s="3" t="s">
        <v>1129</v>
      </c>
      <c r="G13" s="3" t="s">
        <v>311</v>
      </c>
    </row>
    <row r="14" spans="1:7" s="3" customFormat="1" x14ac:dyDescent="0.25">
      <c r="A14" s="3" t="s">
        <v>1097</v>
      </c>
      <c r="B14" s="3" t="s">
        <v>1098</v>
      </c>
      <c r="C14" s="3" t="s">
        <v>1080</v>
      </c>
      <c r="D14" s="3" t="s">
        <v>891</v>
      </c>
      <c r="E14" s="3" t="s">
        <v>891</v>
      </c>
      <c r="F14" s="3" t="s">
        <v>1129</v>
      </c>
      <c r="G14" s="3" t="s">
        <v>311</v>
      </c>
    </row>
    <row r="15" spans="1:7" s="3" customFormat="1" x14ac:dyDescent="0.25">
      <c r="A15" s="3" t="s">
        <v>1099</v>
      </c>
      <c r="B15" s="3" t="s">
        <v>1100</v>
      </c>
      <c r="C15" s="3" t="s">
        <v>1080</v>
      </c>
      <c r="D15" s="3" t="s">
        <v>891</v>
      </c>
      <c r="E15" s="3" t="s">
        <v>891</v>
      </c>
      <c r="F15" s="3" t="s">
        <v>1129</v>
      </c>
      <c r="G15" s="3" t="s">
        <v>311</v>
      </c>
    </row>
    <row r="16" spans="1:7" s="3" customFormat="1" x14ac:dyDescent="0.25">
      <c r="A16" s="3" t="s">
        <v>1101</v>
      </c>
      <c r="B16" s="3" t="s">
        <v>1102</v>
      </c>
      <c r="C16" s="3" t="s">
        <v>1080</v>
      </c>
      <c r="D16" s="3" t="s">
        <v>891</v>
      </c>
      <c r="E16" s="3" t="s">
        <v>891</v>
      </c>
      <c r="F16" s="3" t="s">
        <v>1129</v>
      </c>
      <c r="G16" s="3" t="s">
        <v>311</v>
      </c>
    </row>
    <row r="17" spans="1:7" s="3" customFormat="1" x14ac:dyDescent="0.25">
      <c r="A17" s="3" t="s">
        <v>1018</v>
      </c>
      <c r="B17" s="3" t="s">
        <v>1019</v>
      </c>
      <c r="C17" s="3" t="s">
        <v>960</v>
      </c>
      <c r="D17" s="3" t="s">
        <v>891</v>
      </c>
      <c r="E17" s="3" t="s">
        <v>891</v>
      </c>
      <c r="G17" s="3" t="s">
        <v>311</v>
      </c>
    </row>
    <row r="18" spans="1:7" x14ac:dyDescent="0.25">
      <c r="A18" s="3" t="s">
        <v>1103</v>
      </c>
      <c r="B18" s="3" t="s">
        <v>1104</v>
      </c>
      <c r="C18" s="3" t="s">
        <v>1080</v>
      </c>
      <c r="D18" s="3" t="s">
        <v>891</v>
      </c>
      <c r="E18" s="3" t="s">
        <v>891</v>
      </c>
      <c r="F18" s="3"/>
      <c r="G18" s="3" t="s">
        <v>311</v>
      </c>
    </row>
    <row r="19" spans="1:7" x14ac:dyDescent="0.25">
      <c r="A19" s="3" t="s">
        <v>1023</v>
      </c>
      <c r="B19" s="3" t="s">
        <v>1024</v>
      </c>
      <c r="C19" s="3" t="s">
        <v>203</v>
      </c>
      <c r="D19" s="3" t="s">
        <v>891</v>
      </c>
      <c r="E19" s="3" t="s">
        <v>891</v>
      </c>
      <c r="F19" s="3"/>
      <c r="G19" s="3" t="s">
        <v>311</v>
      </c>
    </row>
    <row r="20" spans="1:7" s="3" customFormat="1" x14ac:dyDescent="0.25">
      <c r="A20" s="3" t="s">
        <v>1025</v>
      </c>
      <c r="B20" s="3" t="s">
        <v>1026</v>
      </c>
      <c r="C20" s="3" t="s">
        <v>1027</v>
      </c>
      <c r="D20" s="3" t="s">
        <v>891</v>
      </c>
      <c r="E20" s="3" t="s">
        <v>891</v>
      </c>
      <c r="G20" s="3" t="s">
        <v>311</v>
      </c>
    </row>
    <row r="21" spans="1:7" s="3" customFormat="1" x14ac:dyDescent="0.25">
      <c r="A21" s="3" t="s">
        <v>1035</v>
      </c>
      <c r="B21" s="3" t="s">
        <v>1036</v>
      </c>
      <c r="C21" s="3" t="s">
        <v>1037</v>
      </c>
      <c r="D21" s="3" t="s">
        <v>891</v>
      </c>
      <c r="E21" s="3" t="s">
        <v>891</v>
      </c>
      <c r="G21" s="3" t="s">
        <v>311</v>
      </c>
    </row>
    <row r="22" spans="1:7" x14ac:dyDescent="0.25">
      <c r="A22" s="3" t="s">
        <v>1041</v>
      </c>
      <c r="B22" s="3" t="s">
        <v>1042</v>
      </c>
      <c r="C22" s="3" t="s">
        <v>1043</v>
      </c>
      <c r="D22" s="3" t="s">
        <v>891</v>
      </c>
      <c r="E22" s="3" t="s">
        <v>891</v>
      </c>
      <c r="F22" s="3"/>
      <c r="G22" s="3" t="s">
        <v>311</v>
      </c>
    </row>
    <row r="23" spans="1:7" s="3" customFormat="1" x14ac:dyDescent="0.25">
      <c r="A23" s="3" t="s">
        <v>1048</v>
      </c>
      <c r="B23" s="3" t="s">
        <v>1049</v>
      </c>
      <c r="C23" s="3" t="s">
        <v>1043</v>
      </c>
      <c r="D23" s="3" t="s">
        <v>891</v>
      </c>
      <c r="E23" s="3" t="s">
        <v>891</v>
      </c>
      <c r="G23" s="3" t="s">
        <v>311</v>
      </c>
    </row>
    <row r="24" spans="1:7" s="3" customFormat="1" x14ac:dyDescent="0.25">
      <c r="A24" s="3" t="s">
        <v>1054</v>
      </c>
      <c r="B24" s="3" t="s">
        <v>1055</v>
      </c>
      <c r="C24" s="3" t="s">
        <v>982</v>
      </c>
      <c r="D24" s="3" t="s">
        <v>891</v>
      </c>
      <c r="E24" s="3" t="s">
        <v>891</v>
      </c>
      <c r="G24" s="3" t="s">
        <v>311</v>
      </c>
    </row>
    <row r="25" spans="1:7" s="3" customFormat="1" x14ac:dyDescent="0.25">
      <c r="A25" s="3" t="s">
        <v>1060</v>
      </c>
      <c r="B25" s="3" t="s">
        <v>1061</v>
      </c>
      <c r="C25" s="3" t="s">
        <v>982</v>
      </c>
      <c r="D25" s="3" t="s">
        <v>891</v>
      </c>
      <c r="E25" s="3" t="s">
        <v>891</v>
      </c>
      <c r="G25" s="3" t="s">
        <v>311</v>
      </c>
    </row>
    <row r="26" spans="1:7" s="3" customFormat="1" x14ac:dyDescent="0.25">
      <c r="A26" s="2" t="s">
        <v>897</v>
      </c>
      <c r="B26" s="2" t="s">
        <v>285</v>
      </c>
      <c r="C26" s="2" t="s">
        <v>246</v>
      </c>
      <c r="D26" s="2" t="s">
        <v>285</v>
      </c>
      <c r="E26" s="2" t="s">
        <v>17</v>
      </c>
      <c r="F26" s="2"/>
      <c r="G26" s="2" t="s">
        <v>891</v>
      </c>
    </row>
    <row r="27" spans="1:7" x14ac:dyDescent="0.25">
      <c r="A27" s="2" t="s">
        <v>898</v>
      </c>
      <c r="B27" s="2" t="s">
        <v>563</v>
      </c>
      <c r="C27" s="2" t="s">
        <v>915</v>
      </c>
      <c r="D27" s="2" t="s">
        <v>891</v>
      </c>
      <c r="E27" s="2" t="s">
        <v>891</v>
      </c>
      <c r="F27" s="2"/>
      <c r="G27" s="2" t="s">
        <v>891</v>
      </c>
    </row>
    <row r="28" spans="1:7" s="3" customFormat="1" x14ac:dyDescent="0.25">
      <c r="A28" s="2" t="s">
        <v>899</v>
      </c>
      <c r="B28" s="2" t="s">
        <v>564</v>
      </c>
      <c r="C28" s="2" t="s">
        <v>915</v>
      </c>
      <c r="D28" s="2" t="s">
        <v>891</v>
      </c>
      <c r="E28" s="2" t="s">
        <v>891</v>
      </c>
      <c r="F28" s="2"/>
      <c r="G28" s="2" t="s">
        <v>891</v>
      </c>
    </row>
    <row r="29" spans="1:7" s="3" customFormat="1" x14ac:dyDescent="0.25">
      <c r="A29" s="2" t="s">
        <v>900</v>
      </c>
      <c r="B29" s="2" t="s">
        <v>426</v>
      </c>
      <c r="C29" s="2" t="s">
        <v>915</v>
      </c>
      <c r="D29" s="2" t="s">
        <v>891</v>
      </c>
      <c r="E29" s="2" t="s">
        <v>891</v>
      </c>
      <c r="F29" s="2"/>
      <c r="G29" s="2" t="s">
        <v>891</v>
      </c>
    </row>
    <row r="30" spans="1:7" s="3" customFormat="1" x14ac:dyDescent="0.25">
      <c r="A30" s="2" t="s">
        <v>901</v>
      </c>
      <c r="B30" s="2" t="s">
        <v>565</v>
      </c>
      <c r="C30" s="2" t="s">
        <v>915</v>
      </c>
      <c r="D30" s="2" t="s">
        <v>891</v>
      </c>
      <c r="E30" s="2" t="s">
        <v>891</v>
      </c>
      <c r="F30" s="2"/>
      <c r="G30" s="2" t="s">
        <v>891</v>
      </c>
    </row>
    <row r="31" spans="1:7" s="3" customFormat="1" x14ac:dyDescent="0.25">
      <c r="A31" s="2" t="s">
        <v>1078</v>
      </c>
      <c r="B31" s="2" t="s">
        <v>1079</v>
      </c>
      <c r="C31" s="2" t="s">
        <v>1080</v>
      </c>
      <c r="D31" s="2" t="s">
        <v>891</v>
      </c>
      <c r="E31" s="2" t="s">
        <v>891</v>
      </c>
      <c r="F31" s="2"/>
      <c r="G31" s="2" t="s">
        <v>891</v>
      </c>
    </row>
    <row r="32" spans="1:7" s="3" customFormat="1" x14ac:dyDescent="0.25">
      <c r="A32" s="2" t="s">
        <v>1081</v>
      </c>
      <c r="B32" s="2" t="s">
        <v>1082</v>
      </c>
      <c r="C32" s="2" t="s">
        <v>1080</v>
      </c>
      <c r="D32" s="2" t="s">
        <v>891</v>
      </c>
      <c r="E32" s="2" t="s">
        <v>891</v>
      </c>
      <c r="F32" s="2"/>
      <c r="G32" s="2" t="s">
        <v>891</v>
      </c>
    </row>
    <row r="33" spans="1:7" x14ac:dyDescent="0.25">
      <c r="A33" s="2" t="s">
        <v>1083</v>
      </c>
      <c r="B33" s="2" t="s">
        <v>1084</v>
      </c>
      <c r="C33" s="2" t="s">
        <v>1080</v>
      </c>
      <c r="D33" s="2" t="s">
        <v>891</v>
      </c>
      <c r="E33" s="2" t="s">
        <v>891</v>
      </c>
      <c r="F33" s="2"/>
      <c r="G33" s="2" t="s">
        <v>891</v>
      </c>
    </row>
    <row r="34" spans="1:7" s="3" customFormat="1" x14ac:dyDescent="0.25">
      <c r="A34" s="2" t="s">
        <v>1085</v>
      </c>
      <c r="B34" s="2" t="s">
        <v>1086</v>
      </c>
      <c r="C34" s="2" t="s">
        <v>1080</v>
      </c>
      <c r="D34" s="2" t="s">
        <v>891</v>
      </c>
      <c r="E34" s="2" t="s">
        <v>891</v>
      </c>
      <c r="F34" s="2"/>
      <c r="G34" s="2" t="s">
        <v>891</v>
      </c>
    </row>
    <row r="35" spans="1:7" s="3" customFormat="1" x14ac:dyDescent="0.25">
      <c r="A35" s="2" t="s">
        <v>905</v>
      </c>
      <c r="B35" s="2" t="s">
        <v>525</v>
      </c>
      <c r="C35" s="2" t="s">
        <v>917</v>
      </c>
      <c r="D35" s="2" t="s">
        <v>525</v>
      </c>
      <c r="E35" s="2" t="s">
        <v>507</v>
      </c>
      <c r="F35" s="2"/>
      <c r="G35" s="2" t="s">
        <v>891</v>
      </c>
    </row>
    <row r="36" spans="1:7" s="3" customFormat="1" x14ac:dyDescent="0.25">
      <c r="A36" s="2" t="s">
        <v>906</v>
      </c>
      <c r="B36" s="2" t="s">
        <v>648</v>
      </c>
      <c r="C36" s="2" t="s">
        <v>918</v>
      </c>
      <c r="D36" s="2" t="s">
        <v>648</v>
      </c>
      <c r="E36" s="2" t="s">
        <v>647</v>
      </c>
      <c r="F36" s="2"/>
      <c r="G36" s="2" t="s">
        <v>891</v>
      </c>
    </row>
    <row r="37" spans="1:7" s="3" customFormat="1" x14ac:dyDescent="0.25">
      <c r="A37" s="2" t="s">
        <v>1087</v>
      </c>
      <c r="B37" s="2" t="s">
        <v>1088</v>
      </c>
      <c r="C37" s="2" t="s">
        <v>1080</v>
      </c>
      <c r="D37" s="2" t="s">
        <v>891</v>
      </c>
      <c r="E37" s="2" t="s">
        <v>891</v>
      </c>
      <c r="F37" s="2"/>
      <c r="G37" s="2" t="s">
        <v>891</v>
      </c>
    </row>
    <row r="38" spans="1:7" x14ac:dyDescent="0.25">
      <c r="A38" t="s">
        <v>909</v>
      </c>
      <c r="B38" t="s">
        <v>528</v>
      </c>
      <c r="C38" t="s">
        <v>920</v>
      </c>
      <c r="D38" t="s">
        <v>528</v>
      </c>
      <c r="E38" t="s">
        <v>509</v>
      </c>
      <c r="G38" t="s">
        <v>891</v>
      </c>
    </row>
    <row r="39" spans="1:7" x14ac:dyDescent="0.25">
      <c r="A39" t="s">
        <v>910</v>
      </c>
      <c r="B39" t="s">
        <v>529</v>
      </c>
      <c r="C39" t="s">
        <v>920</v>
      </c>
      <c r="D39" t="s">
        <v>529</v>
      </c>
      <c r="E39" t="s">
        <v>510</v>
      </c>
      <c r="G39" t="s">
        <v>891</v>
      </c>
    </row>
    <row r="40" spans="1:7" s="3" customFormat="1" x14ac:dyDescent="0.25">
      <c r="A40" t="s">
        <v>972</v>
      </c>
      <c r="B40" t="s">
        <v>973</v>
      </c>
      <c r="C40" t="s">
        <v>974</v>
      </c>
      <c r="D40" t="s">
        <v>1121</v>
      </c>
      <c r="E40" t="s">
        <v>975</v>
      </c>
      <c r="F40"/>
      <c r="G40" t="s">
        <v>891</v>
      </c>
    </row>
    <row r="41" spans="1:7" x14ac:dyDescent="0.25">
      <c r="A41" t="s">
        <v>993</v>
      </c>
      <c r="B41" t="s">
        <v>994</v>
      </c>
      <c r="C41" t="s">
        <v>1122</v>
      </c>
      <c r="D41" t="s">
        <v>891</v>
      </c>
      <c r="E41" t="s">
        <v>891</v>
      </c>
      <c r="G41" t="s">
        <v>891</v>
      </c>
    </row>
    <row r="42" spans="1:7" s="3" customFormat="1" x14ac:dyDescent="0.25">
      <c r="A42" t="s">
        <v>1006</v>
      </c>
      <c r="B42" t="s">
        <v>1007</v>
      </c>
      <c r="C42" t="s">
        <v>1008</v>
      </c>
      <c r="D42" t="s">
        <v>1123</v>
      </c>
      <c r="E42" t="s">
        <v>1009</v>
      </c>
      <c r="F42"/>
      <c r="G42" t="s">
        <v>891</v>
      </c>
    </row>
    <row r="43" spans="1:7" s="3" customFormat="1" x14ac:dyDescent="0.25">
      <c r="A43" t="s">
        <v>1028</v>
      </c>
      <c r="B43" t="s">
        <v>1029</v>
      </c>
      <c r="C43" t="s">
        <v>1030</v>
      </c>
      <c r="D43" t="s">
        <v>1029</v>
      </c>
      <c r="E43" t="s">
        <v>1031</v>
      </c>
      <c r="F43"/>
      <c r="G43" t="s">
        <v>891</v>
      </c>
    </row>
    <row r="44" spans="1:7" s="3" customFormat="1" x14ac:dyDescent="0.25">
      <c r="A44" t="s">
        <v>1032</v>
      </c>
      <c r="B44" t="s">
        <v>1033</v>
      </c>
      <c r="C44" t="s">
        <v>1030</v>
      </c>
      <c r="D44" t="s">
        <v>1033</v>
      </c>
      <c r="E44" t="s">
        <v>1034</v>
      </c>
      <c r="F44"/>
      <c r="G44" t="s">
        <v>891</v>
      </c>
    </row>
    <row r="45" spans="1:7" s="3" customFormat="1" x14ac:dyDescent="0.25">
      <c r="A45" t="s">
        <v>1038</v>
      </c>
      <c r="B45" t="s">
        <v>1039</v>
      </c>
      <c r="C45" t="s">
        <v>1124</v>
      </c>
      <c r="D45" t="s">
        <v>1039</v>
      </c>
      <c r="E45" t="s">
        <v>1040</v>
      </c>
      <c r="F45"/>
      <c r="G45" t="s">
        <v>891</v>
      </c>
    </row>
    <row r="46" spans="1:7" x14ac:dyDescent="0.25">
      <c r="A46" s="2" t="s">
        <v>1106</v>
      </c>
      <c r="B46" s="2" t="s">
        <v>1107</v>
      </c>
      <c r="C46" s="2" t="s">
        <v>1080</v>
      </c>
      <c r="D46" s="2" t="s">
        <v>891</v>
      </c>
      <c r="E46" s="2" t="s">
        <v>891</v>
      </c>
      <c r="F46" s="2"/>
      <c r="G46" s="2" t="s">
        <v>891</v>
      </c>
    </row>
    <row r="47" spans="1:7" x14ac:dyDescent="0.25">
      <c r="A47" s="2" t="s">
        <v>1108</v>
      </c>
      <c r="B47" s="2" t="s">
        <v>1109</v>
      </c>
      <c r="C47" s="2" t="s">
        <v>1080</v>
      </c>
      <c r="D47" s="2" t="s">
        <v>891</v>
      </c>
      <c r="E47" s="2" t="s">
        <v>891</v>
      </c>
      <c r="F47" s="2"/>
      <c r="G47" s="2" t="s">
        <v>891</v>
      </c>
    </row>
  </sheetData>
  <autoFilter ref="A1:G47">
    <sortState ref="A2:G47">
      <sortCondition sortBy="cellColor" ref="C1:C47" dxfId="1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zoomScale="85" zoomScaleNormal="85" workbookViewId="0">
      <pane ySplit="1" topLeftCell="A8" activePane="bottomLeft" state="frozen"/>
      <selection pane="bottomLeft" activeCell="C31" sqref="C31"/>
    </sheetView>
  </sheetViews>
  <sheetFormatPr defaultRowHeight="15" x14ac:dyDescent="0.25"/>
  <cols>
    <col min="1" max="1" width="19.28515625" bestFit="1" customWidth="1"/>
    <col min="2" max="2" width="33.42578125" bestFit="1" customWidth="1"/>
    <col min="3" max="3" width="114.28515625" bestFit="1" customWidth="1"/>
    <col min="4" max="4" width="33.42578125" bestFit="1" customWidth="1"/>
    <col min="5" max="5" width="13.42578125" bestFit="1" customWidth="1"/>
    <col min="6" max="6" width="17.28515625" bestFit="1" customWidth="1"/>
    <col min="7" max="7" width="15.5703125" bestFit="1" customWidth="1"/>
    <col min="8" max="8" width="14.42578125" bestFit="1" customWidth="1"/>
  </cols>
  <sheetData>
    <row r="1" spans="1:8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  <c r="H1" t="s">
        <v>325</v>
      </c>
    </row>
    <row r="2" spans="1:8" s="3" customFormat="1" x14ac:dyDescent="0.25">
      <c r="A2" s="3" t="s">
        <v>1151</v>
      </c>
      <c r="B2" s="3" t="s">
        <v>1150</v>
      </c>
      <c r="C2" s="3" t="s">
        <v>1149</v>
      </c>
      <c r="D2" s="3" t="s">
        <v>891</v>
      </c>
      <c r="E2" s="3" t="s">
        <v>891</v>
      </c>
      <c r="F2" s="3" t="s">
        <v>679</v>
      </c>
      <c r="G2" s="3" t="s">
        <v>311</v>
      </c>
      <c r="H2" s="3" t="e">
        <f>VLOOKUP(A2,'Zipper 9-24'!A2:A47,1,0)</f>
        <v>#N/A</v>
      </c>
    </row>
    <row r="3" spans="1:8" x14ac:dyDescent="0.25">
      <c r="A3" t="s">
        <v>905</v>
      </c>
      <c r="B3" t="s">
        <v>525</v>
      </c>
      <c r="C3" t="s">
        <v>917</v>
      </c>
      <c r="D3" t="s">
        <v>525</v>
      </c>
      <c r="E3" t="s">
        <v>507</v>
      </c>
      <c r="F3" t="s">
        <v>891</v>
      </c>
      <c r="G3" t="s">
        <v>891</v>
      </c>
      <c r="H3" s="3" t="str">
        <f>VLOOKUP(A3,'Zipper 9-24'!A3:A48,1,0)</f>
        <v xml:space="preserve">10.206.16.3 </v>
      </c>
    </row>
    <row r="4" spans="1:8" x14ac:dyDescent="0.25">
      <c r="A4" t="s">
        <v>906</v>
      </c>
      <c r="B4" t="s">
        <v>648</v>
      </c>
      <c r="C4" t="s">
        <v>918</v>
      </c>
      <c r="D4" t="s">
        <v>648</v>
      </c>
      <c r="E4" t="s">
        <v>647</v>
      </c>
      <c r="F4" t="s">
        <v>891</v>
      </c>
      <c r="G4" t="s">
        <v>891</v>
      </c>
      <c r="H4" s="3" t="str">
        <f>VLOOKUP(A4,'Zipper 9-24'!A4:A49,1,0)</f>
        <v xml:space="preserve">10.206.16.20 </v>
      </c>
    </row>
    <row r="5" spans="1:8" s="3" customFormat="1" x14ac:dyDescent="0.25">
      <c r="A5" t="s">
        <v>909</v>
      </c>
      <c r="B5" t="s">
        <v>528</v>
      </c>
      <c r="C5" t="s">
        <v>920</v>
      </c>
      <c r="D5" t="s">
        <v>528</v>
      </c>
      <c r="E5" t="s">
        <v>509</v>
      </c>
      <c r="F5" t="s">
        <v>891</v>
      </c>
      <c r="G5" t="s">
        <v>891</v>
      </c>
      <c r="H5" s="3" t="str">
        <f>VLOOKUP(A5,'Zipper 9-24'!A10:A55,1,0)</f>
        <v xml:space="preserve">10.226.50.178 </v>
      </c>
    </row>
    <row r="6" spans="1:8" s="3" customFormat="1" x14ac:dyDescent="0.25">
      <c r="A6" s="3" t="s">
        <v>1111</v>
      </c>
      <c r="B6" s="3" t="s">
        <v>1112</v>
      </c>
      <c r="C6" s="3" t="s">
        <v>1113</v>
      </c>
      <c r="D6" s="3" t="s">
        <v>891</v>
      </c>
      <c r="E6" s="3" t="s">
        <v>891</v>
      </c>
      <c r="F6" s="3" t="s">
        <v>85</v>
      </c>
      <c r="G6" s="3" t="s">
        <v>311</v>
      </c>
      <c r="H6" s="3" t="e">
        <f>VLOOKUP(A6,'Zipper 9-24'!A6:A51,1,0)</f>
        <v>#N/A</v>
      </c>
    </row>
    <row r="7" spans="1:8" s="3" customFormat="1" x14ac:dyDescent="0.25">
      <c r="A7" s="3" t="s">
        <v>1114</v>
      </c>
      <c r="B7" s="3" t="s">
        <v>1115</v>
      </c>
      <c r="C7" s="3" t="s">
        <v>1113</v>
      </c>
      <c r="D7" s="3" t="s">
        <v>891</v>
      </c>
      <c r="E7" s="3" t="s">
        <v>891</v>
      </c>
      <c r="F7" s="3" t="s">
        <v>85</v>
      </c>
      <c r="G7" s="3" t="s">
        <v>311</v>
      </c>
      <c r="H7" s="3" t="e">
        <f>VLOOKUP(A7,'Zipper 9-24'!A7:A52,1,0)</f>
        <v>#N/A</v>
      </c>
    </row>
    <row r="8" spans="1:8" s="3" customFormat="1" x14ac:dyDescent="0.25">
      <c r="A8" s="3" t="s">
        <v>1116</v>
      </c>
      <c r="B8" s="3" t="s">
        <v>1117</v>
      </c>
      <c r="C8" s="3" t="s">
        <v>1113</v>
      </c>
      <c r="D8" s="3" t="s">
        <v>891</v>
      </c>
      <c r="E8" s="3" t="s">
        <v>891</v>
      </c>
      <c r="F8" s="3" t="s">
        <v>85</v>
      </c>
      <c r="G8" s="3" t="s">
        <v>311</v>
      </c>
      <c r="H8" s="3" t="e">
        <f>VLOOKUP(A8,'Zipper 9-24'!A8:A53,1,0)</f>
        <v>#N/A</v>
      </c>
    </row>
    <row r="9" spans="1:8" s="3" customFormat="1" x14ac:dyDescent="0.25">
      <c r="A9" s="3" t="s">
        <v>908</v>
      </c>
      <c r="B9" s="3" t="s">
        <v>324</v>
      </c>
      <c r="C9" s="3" t="s">
        <v>200</v>
      </c>
      <c r="D9" s="3" t="s">
        <v>891</v>
      </c>
      <c r="E9" s="3" t="s">
        <v>891</v>
      </c>
      <c r="F9" s="3" t="s">
        <v>85</v>
      </c>
      <c r="G9" s="3" t="s">
        <v>311</v>
      </c>
      <c r="H9" s="3" t="e">
        <f>VLOOKUP(A9,'Zipper 9-24'!A9:A54,1,0)</f>
        <v>#N/A</v>
      </c>
    </row>
    <row r="10" spans="1:8" x14ac:dyDescent="0.25">
      <c r="A10" t="s">
        <v>910</v>
      </c>
      <c r="B10" t="s">
        <v>529</v>
      </c>
      <c r="C10" t="s">
        <v>920</v>
      </c>
      <c r="D10" t="s">
        <v>529</v>
      </c>
      <c r="E10" t="s">
        <v>510</v>
      </c>
      <c r="F10" t="s">
        <v>891</v>
      </c>
      <c r="G10" t="s">
        <v>891</v>
      </c>
      <c r="H10" s="3" t="str">
        <f>VLOOKUP(A10,'Zipper 9-24'!A11:A56,1,0)</f>
        <v xml:space="preserve">10.226.50.179 </v>
      </c>
    </row>
    <row r="11" spans="1:8" x14ac:dyDescent="0.25">
      <c r="A11" t="s">
        <v>897</v>
      </c>
      <c r="B11" t="s">
        <v>285</v>
      </c>
      <c r="C11" t="s">
        <v>246</v>
      </c>
      <c r="D11" t="s">
        <v>285</v>
      </c>
      <c r="E11" t="s">
        <v>17</v>
      </c>
      <c r="F11" t="s">
        <v>891</v>
      </c>
      <c r="G11" t="s">
        <v>891</v>
      </c>
      <c r="H11" s="3" t="str">
        <f>VLOOKUP(A11,'Zipper 9-24'!A16:A61,1,0)</f>
        <v xml:space="preserve">10.206.19.107 </v>
      </c>
    </row>
    <row r="12" spans="1:8" s="3" customFormat="1" x14ac:dyDescent="0.25">
      <c r="A12" s="3" t="s">
        <v>1148</v>
      </c>
      <c r="B12" s="3" t="s">
        <v>1147</v>
      </c>
      <c r="C12" s="3" t="s">
        <v>1138</v>
      </c>
      <c r="D12" s="3" t="s">
        <v>891</v>
      </c>
      <c r="E12" s="3" t="s">
        <v>891</v>
      </c>
      <c r="F12" s="3" t="s">
        <v>891</v>
      </c>
      <c r="G12" s="3" t="s">
        <v>311</v>
      </c>
      <c r="H12" s="3" t="e">
        <f>VLOOKUP(A12,'Zipper 9-24'!A12:A57,1,0)</f>
        <v>#N/A</v>
      </c>
    </row>
    <row r="13" spans="1:8" s="3" customFormat="1" x14ac:dyDescent="0.25">
      <c r="A13" s="3" t="s">
        <v>1146</v>
      </c>
      <c r="B13" s="3" t="s">
        <v>1145</v>
      </c>
      <c r="C13" s="3" t="s">
        <v>1138</v>
      </c>
      <c r="D13" s="3" t="s">
        <v>891</v>
      </c>
      <c r="E13" s="3" t="s">
        <v>891</v>
      </c>
      <c r="F13" s="3" t="s">
        <v>85</v>
      </c>
      <c r="G13" s="3" t="s">
        <v>311</v>
      </c>
      <c r="H13" s="3" t="e">
        <f>VLOOKUP(A13,'Zipper 9-24'!A13:A58,1,0)</f>
        <v>#N/A</v>
      </c>
    </row>
    <row r="14" spans="1:8" s="3" customFormat="1" x14ac:dyDescent="0.25">
      <c r="A14" s="3" t="s">
        <v>1144</v>
      </c>
      <c r="B14" s="3" t="s">
        <v>1143</v>
      </c>
      <c r="C14" s="3" t="s">
        <v>1138</v>
      </c>
      <c r="D14" s="3" t="s">
        <v>891</v>
      </c>
      <c r="E14" s="3" t="s">
        <v>891</v>
      </c>
      <c r="F14" s="3" t="s">
        <v>85</v>
      </c>
      <c r="G14" s="3" t="s">
        <v>311</v>
      </c>
      <c r="H14" s="3" t="e">
        <f>VLOOKUP(A14,'Zipper 9-24'!A14:A59,1,0)</f>
        <v>#N/A</v>
      </c>
    </row>
    <row r="15" spans="1:8" s="3" customFormat="1" x14ac:dyDescent="0.25">
      <c r="A15" s="3" t="s">
        <v>1142</v>
      </c>
      <c r="B15" s="3" t="s">
        <v>1141</v>
      </c>
      <c r="C15" s="3" t="s">
        <v>1138</v>
      </c>
      <c r="D15" s="3" t="s">
        <v>891</v>
      </c>
      <c r="E15" s="3" t="s">
        <v>891</v>
      </c>
      <c r="F15" s="3" t="s">
        <v>85</v>
      </c>
      <c r="G15" s="3" t="s">
        <v>311</v>
      </c>
      <c r="H15" s="3" t="e">
        <f>VLOOKUP(A15,'Zipper 9-24'!A15:A60,1,0)</f>
        <v>#N/A</v>
      </c>
    </row>
    <row r="16" spans="1:8" x14ac:dyDescent="0.25">
      <c r="A16" t="s">
        <v>972</v>
      </c>
      <c r="B16" t="s">
        <v>973</v>
      </c>
      <c r="C16" t="s">
        <v>974</v>
      </c>
      <c r="D16" t="s">
        <v>1121</v>
      </c>
      <c r="E16" t="s">
        <v>975</v>
      </c>
      <c r="F16" t="s">
        <v>891</v>
      </c>
      <c r="G16" t="s">
        <v>891</v>
      </c>
      <c r="H16" s="3" t="str">
        <f>VLOOKUP(A16,'Zipper 9-24'!A20:A65,1,0)</f>
        <v xml:space="preserve">10.185.3.8 </v>
      </c>
    </row>
    <row r="17" spans="1:8" s="3" customFormat="1" x14ac:dyDescent="0.25">
      <c r="A17" s="3" t="s">
        <v>1140</v>
      </c>
      <c r="B17" s="3" t="s">
        <v>1139</v>
      </c>
      <c r="C17" s="3" t="s">
        <v>1138</v>
      </c>
      <c r="D17" s="3" t="s">
        <v>891</v>
      </c>
      <c r="E17" s="3" t="s">
        <v>891</v>
      </c>
      <c r="F17" s="3" t="s">
        <v>85</v>
      </c>
      <c r="G17" s="3" t="s">
        <v>311</v>
      </c>
      <c r="H17" s="3" t="e">
        <f>VLOOKUP(A17,'Zipper 9-24'!A17:A62,1,0)</f>
        <v>#N/A</v>
      </c>
    </row>
    <row r="18" spans="1:8" s="3" customFormat="1" x14ac:dyDescent="0.25">
      <c r="A18" s="3" t="s">
        <v>1137</v>
      </c>
      <c r="B18" s="3" t="s">
        <v>1136</v>
      </c>
      <c r="C18" s="3" t="s">
        <v>1133</v>
      </c>
      <c r="D18" s="3" t="s">
        <v>891</v>
      </c>
      <c r="E18" s="3" t="s">
        <v>891</v>
      </c>
      <c r="F18" s="3" t="s">
        <v>85</v>
      </c>
      <c r="G18" s="3" t="s">
        <v>311</v>
      </c>
      <c r="H18" s="3" t="e">
        <f>VLOOKUP(A18,'Zipper 9-24'!A18:A63,1,0)</f>
        <v>#N/A</v>
      </c>
    </row>
    <row r="19" spans="1:8" s="3" customFormat="1" x14ac:dyDescent="0.25">
      <c r="A19" s="3" t="s">
        <v>1135</v>
      </c>
      <c r="B19" s="3" t="s">
        <v>1134</v>
      </c>
      <c r="C19" s="3" t="s">
        <v>1133</v>
      </c>
      <c r="D19" s="3" t="s">
        <v>891</v>
      </c>
      <c r="E19" s="3" t="s">
        <v>891</v>
      </c>
      <c r="F19" s="3" t="s">
        <v>85</v>
      </c>
      <c r="G19" s="3" t="s">
        <v>311</v>
      </c>
      <c r="H19" s="3" t="e">
        <f>VLOOKUP(A19,'Zipper 9-24'!A19:A64,1,0)</f>
        <v>#N/A</v>
      </c>
    </row>
    <row r="20" spans="1:8" x14ac:dyDescent="0.25">
      <c r="A20" t="s">
        <v>993</v>
      </c>
      <c r="B20" t="s">
        <v>994</v>
      </c>
      <c r="C20" t="s">
        <v>1132</v>
      </c>
      <c r="D20" t="s">
        <v>891</v>
      </c>
      <c r="E20" t="s">
        <v>891</v>
      </c>
      <c r="F20" t="s">
        <v>891</v>
      </c>
      <c r="G20" t="s">
        <v>891</v>
      </c>
      <c r="H20" s="3" t="str">
        <f>VLOOKUP(A20,'Zipper 9-24'!A25:A70,1,0)</f>
        <v xml:space="preserve">10.219.10.21 </v>
      </c>
    </row>
    <row r="21" spans="1:8" s="3" customFormat="1" x14ac:dyDescent="0.25">
      <c r="A21" s="3" t="s">
        <v>976</v>
      </c>
      <c r="B21" s="3" t="s">
        <v>977</v>
      </c>
      <c r="C21" s="3" t="s">
        <v>951</v>
      </c>
      <c r="D21" s="3" t="s">
        <v>891</v>
      </c>
      <c r="E21" s="3" t="s">
        <v>891</v>
      </c>
      <c r="F21" s="3" t="s">
        <v>85</v>
      </c>
      <c r="G21" s="3" t="s">
        <v>311</v>
      </c>
      <c r="H21" s="3" t="e">
        <f>VLOOKUP(A21,'Zipper 9-24'!A21:A66,1,0)</f>
        <v>#N/A</v>
      </c>
    </row>
    <row r="22" spans="1:8" s="3" customFormat="1" x14ac:dyDescent="0.25">
      <c r="A22" s="3" t="s">
        <v>978</v>
      </c>
      <c r="B22" s="3" t="s">
        <v>979</v>
      </c>
      <c r="C22" s="3" t="s">
        <v>951</v>
      </c>
      <c r="D22" s="3" t="s">
        <v>891</v>
      </c>
      <c r="E22" s="3" t="s">
        <v>891</v>
      </c>
      <c r="F22" s="3" t="s">
        <v>85</v>
      </c>
      <c r="G22" s="3" t="s">
        <v>311</v>
      </c>
      <c r="H22" s="3" t="e">
        <f>VLOOKUP(A22,'Zipper 9-24'!A22:A67,1,0)</f>
        <v>#N/A</v>
      </c>
    </row>
    <row r="23" spans="1:8" s="3" customFormat="1" x14ac:dyDescent="0.25">
      <c r="A23" s="3" t="s">
        <v>980</v>
      </c>
      <c r="B23" s="3" t="s">
        <v>981</v>
      </c>
      <c r="C23" s="3" t="s">
        <v>982</v>
      </c>
      <c r="D23" s="3" t="s">
        <v>891</v>
      </c>
      <c r="E23" s="3" t="s">
        <v>891</v>
      </c>
      <c r="F23" s="3" t="s">
        <v>85</v>
      </c>
      <c r="G23" s="3" t="s">
        <v>311</v>
      </c>
      <c r="H23" s="3" t="e">
        <f>VLOOKUP(A23,'Zipper 9-24'!A23:A68,1,0)</f>
        <v>#N/A</v>
      </c>
    </row>
    <row r="24" spans="1:8" s="3" customFormat="1" x14ac:dyDescent="0.25">
      <c r="A24" s="3" t="s">
        <v>983</v>
      </c>
      <c r="B24" s="3" t="s">
        <v>984</v>
      </c>
      <c r="C24" s="3" t="s">
        <v>982</v>
      </c>
      <c r="D24" s="3" t="s">
        <v>891</v>
      </c>
      <c r="E24" s="3" t="s">
        <v>891</v>
      </c>
      <c r="F24" s="3" t="s">
        <v>85</v>
      </c>
      <c r="G24" s="3" t="s">
        <v>311</v>
      </c>
      <c r="H24" s="3" t="e">
        <f>VLOOKUP(A24,'Zipper 9-24'!A24:A69,1,0)</f>
        <v>#N/A</v>
      </c>
    </row>
    <row r="25" spans="1:8" x14ac:dyDescent="0.25">
      <c r="A25" t="s">
        <v>1006</v>
      </c>
      <c r="B25" t="s">
        <v>1007</v>
      </c>
      <c r="C25" t="s">
        <v>1008</v>
      </c>
      <c r="D25" t="s">
        <v>1123</v>
      </c>
      <c r="E25" t="s">
        <v>1009</v>
      </c>
      <c r="F25" t="s">
        <v>891</v>
      </c>
      <c r="G25" t="s">
        <v>891</v>
      </c>
      <c r="H25" s="3" t="str">
        <f>VLOOKUP(A25,'Zipper 9-24'!A31:A76,1,0)</f>
        <v xml:space="preserve">10.221.3.240 </v>
      </c>
    </row>
    <row r="26" spans="1:8" s="3" customFormat="1" x14ac:dyDescent="0.25">
      <c r="A26" s="3" t="s">
        <v>1093</v>
      </c>
      <c r="B26" s="3" t="s">
        <v>1094</v>
      </c>
      <c r="C26" s="3" t="s">
        <v>1080</v>
      </c>
      <c r="D26" s="3" t="s">
        <v>891</v>
      </c>
      <c r="E26" s="3" t="s">
        <v>891</v>
      </c>
      <c r="F26" s="3" t="s">
        <v>85</v>
      </c>
      <c r="G26" s="3" t="s">
        <v>311</v>
      </c>
      <c r="H26" s="3" t="e">
        <f>VLOOKUP(A26,'Zipper 9-24'!A26:A71,1,0)</f>
        <v>#N/A</v>
      </c>
    </row>
    <row r="27" spans="1:8" s="3" customFormat="1" x14ac:dyDescent="0.25">
      <c r="A27" s="3" t="s">
        <v>1095</v>
      </c>
      <c r="B27" s="3" t="s">
        <v>1096</v>
      </c>
      <c r="C27" s="3" t="s">
        <v>1080</v>
      </c>
      <c r="D27" s="3" t="s">
        <v>891</v>
      </c>
      <c r="E27" s="3" t="s">
        <v>891</v>
      </c>
      <c r="F27" s="3" t="s">
        <v>85</v>
      </c>
      <c r="G27" s="3" t="s">
        <v>311</v>
      </c>
      <c r="H27" s="3" t="e">
        <f>VLOOKUP(A27,'Zipper 9-24'!A27:A72,1,0)</f>
        <v>#N/A</v>
      </c>
    </row>
    <row r="28" spans="1:8" s="3" customFormat="1" x14ac:dyDescent="0.25">
      <c r="A28" s="3" t="s">
        <v>1097</v>
      </c>
      <c r="B28" s="3" t="s">
        <v>1098</v>
      </c>
      <c r="C28" s="3" t="s">
        <v>1080</v>
      </c>
      <c r="D28" s="3" t="s">
        <v>891</v>
      </c>
      <c r="E28" s="3" t="s">
        <v>891</v>
      </c>
      <c r="F28" s="3" t="s">
        <v>85</v>
      </c>
      <c r="G28" s="3" t="s">
        <v>311</v>
      </c>
      <c r="H28" s="3" t="e">
        <f>VLOOKUP(A28,'Zipper 9-24'!A28:A73,1,0)</f>
        <v>#N/A</v>
      </c>
    </row>
    <row r="29" spans="1:8" s="3" customFormat="1" x14ac:dyDescent="0.25">
      <c r="A29" s="3" t="s">
        <v>1099</v>
      </c>
      <c r="B29" s="3" t="s">
        <v>1100</v>
      </c>
      <c r="C29" s="3" t="s">
        <v>1080</v>
      </c>
      <c r="D29" s="3" t="s">
        <v>891</v>
      </c>
      <c r="E29" s="3" t="s">
        <v>891</v>
      </c>
      <c r="F29" s="3" t="s">
        <v>85</v>
      </c>
      <c r="G29" s="3" t="s">
        <v>311</v>
      </c>
      <c r="H29" s="3" t="e">
        <f>VLOOKUP(A29,'Zipper 9-24'!A29:A74,1,0)</f>
        <v>#N/A</v>
      </c>
    </row>
    <row r="30" spans="1:8" s="3" customFormat="1" x14ac:dyDescent="0.25">
      <c r="A30" s="3" t="s">
        <v>1101</v>
      </c>
      <c r="B30" s="3" t="s">
        <v>1102</v>
      </c>
      <c r="C30" s="3" t="s">
        <v>1080</v>
      </c>
      <c r="D30" s="3" t="s">
        <v>891</v>
      </c>
      <c r="E30" s="3" t="s">
        <v>891</v>
      </c>
      <c r="F30" s="3" t="s">
        <v>85</v>
      </c>
      <c r="G30" s="3" t="s">
        <v>311</v>
      </c>
      <c r="H30" s="3" t="e">
        <f>VLOOKUP(A30,'Zipper 9-24'!A30:A75,1,0)</f>
        <v>#N/A</v>
      </c>
    </row>
    <row r="31" spans="1:8" x14ac:dyDescent="0.25">
      <c r="A31" t="s">
        <v>1028</v>
      </c>
      <c r="B31" t="s">
        <v>1029</v>
      </c>
      <c r="C31" t="s">
        <v>1131</v>
      </c>
      <c r="D31" t="s">
        <v>1029</v>
      </c>
      <c r="E31" t="s">
        <v>1031</v>
      </c>
      <c r="F31" t="s">
        <v>891</v>
      </c>
      <c r="G31" t="s">
        <v>891</v>
      </c>
      <c r="H31" s="3" t="str">
        <f>VLOOKUP(A31,'Zipper 9-24'!A36:A81,1,0)</f>
        <v xml:space="preserve">10.225.20.5 </v>
      </c>
    </row>
    <row r="32" spans="1:8" x14ac:dyDescent="0.25">
      <c r="A32" t="s">
        <v>1018</v>
      </c>
      <c r="B32" t="s">
        <v>1019</v>
      </c>
      <c r="C32" t="s">
        <v>960</v>
      </c>
      <c r="D32" t="s">
        <v>891</v>
      </c>
      <c r="E32" t="s">
        <v>891</v>
      </c>
      <c r="F32" t="s">
        <v>891</v>
      </c>
      <c r="G32" t="s">
        <v>891</v>
      </c>
      <c r="H32" s="3" t="e">
        <f>VLOOKUP(A32,'Zipper 9-24'!A32:A77,1,0)</f>
        <v>#N/A</v>
      </c>
    </row>
    <row r="33" spans="1:8" s="3" customFormat="1" x14ac:dyDescent="0.25">
      <c r="A33" s="3" t="s">
        <v>1103</v>
      </c>
      <c r="B33" s="3" t="s">
        <v>1104</v>
      </c>
      <c r="C33" s="3" t="s">
        <v>1080</v>
      </c>
      <c r="D33" s="3" t="s">
        <v>891</v>
      </c>
      <c r="E33" s="3" t="s">
        <v>891</v>
      </c>
      <c r="F33" s="3" t="s">
        <v>891</v>
      </c>
      <c r="G33" s="3" t="s">
        <v>311</v>
      </c>
      <c r="H33" s="3" t="e">
        <f>VLOOKUP(A33,'Zipper 9-24'!A33:A78,1,0)</f>
        <v>#N/A</v>
      </c>
    </row>
    <row r="34" spans="1:8" s="3" customFormat="1" x14ac:dyDescent="0.25">
      <c r="A34" s="3" t="s">
        <v>1023</v>
      </c>
      <c r="B34" s="3" t="s">
        <v>1024</v>
      </c>
      <c r="C34" s="3" t="s">
        <v>203</v>
      </c>
      <c r="D34" s="3" t="s">
        <v>891</v>
      </c>
      <c r="E34" s="3" t="s">
        <v>891</v>
      </c>
      <c r="F34" s="3" t="s">
        <v>891</v>
      </c>
      <c r="G34" s="3" t="s">
        <v>311</v>
      </c>
      <c r="H34" s="3" t="e">
        <f>VLOOKUP(A34,'Zipper 9-24'!A34:A79,1,0)</f>
        <v>#N/A</v>
      </c>
    </row>
    <row r="35" spans="1:8" s="3" customFormat="1" x14ac:dyDescent="0.25">
      <c r="A35" s="3" t="s">
        <v>1025</v>
      </c>
      <c r="B35" s="3" t="s">
        <v>1026</v>
      </c>
      <c r="C35" s="3" t="s">
        <v>1027</v>
      </c>
      <c r="D35" s="3" t="s">
        <v>891</v>
      </c>
      <c r="E35" s="3" t="s">
        <v>891</v>
      </c>
      <c r="F35" s="3" t="s">
        <v>891</v>
      </c>
      <c r="G35" s="3" t="s">
        <v>311</v>
      </c>
      <c r="H35" s="3" t="e">
        <f>VLOOKUP(A35,'Zipper 9-24'!A35:A80,1,0)</f>
        <v>#N/A</v>
      </c>
    </row>
    <row r="36" spans="1:8" x14ac:dyDescent="0.25">
      <c r="A36" t="s">
        <v>1032</v>
      </c>
      <c r="B36" t="s">
        <v>1033</v>
      </c>
      <c r="C36" t="s">
        <v>1131</v>
      </c>
      <c r="D36" t="s">
        <v>1033</v>
      </c>
      <c r="E36" t="s">
        <v>1034</v>
      </c>
      <c r="F36" t="s">
        <v>891</v>
      </c>
      <c r="G36" t="s">
        <v>891</v>
      </c>
      <c r="H36" s="3" t="str">
        <f>VLOOKUP(A36,'Zipper 9-24'!A37:A82,1,0)</f>
        <v xml:space="preserve">10.225.20.6 </v>
      </c>
    </row>
    <row r="37" spans="1:8" x14ac:dyDescent="0.25">
      <c r="A37" t="s">
        <v>1038</v>
      </c>
      <c r="B37" t="s">
        <v>1039</v>
      </c>
      <c r="C37" t="s">
        <v>1130</v>
      </c>
      <c r="D37" t="s">
        <v>1039</v>
      </c>
      <c r="E37" t="s">
        <v>1040</v>
      </c>
      <c r="F37" t="s">
        <v>891</v>
      </c>
      <c r="G37" t="s">
        <v>891</v>
      </c>
      <c r="H37" s="3" t="str">
        <f>VLOOKUP(A37,'Zipper 9-24'!A39:A84,1,0)</f>
        <v xml:space="preserve">167.68.150.6 </v>
      </c>
    </row>
    <row r="38" spans="1:8" s="3" customFormat="1" x14ac:dyDescent="0.25">
      <c r="A38" s="3" t="s">
        <v>1035</v>
      </c>
      <c r="B38" s="3" t="s">
        <v>1036</v>
      </c>
      <c r="C38" s="3" t="s">
        <v>1037</v>
      </c>
      <c r="D38" s="3" t="s">
        <v>891</v>
      </c>
      <c r="E38" s="3" t="s">
        <v>891</v>
      </c>
      <c r="F38" s="3" t="s">
        <v>891</v>
      </c>
      <c r="G38" s="3" t="s">
        <v>311</v>
      </c>
      <c r="H38" s="3" t="e">
        <f>VLOOKUP(A38,'Zipper 9-24'!A38:A83,1,0)</f>
        <v>#N/A</v>
      </c>
    </row>
    <row r="39" spans="1:8" x14ac:dyDescent="0.25">
      <c r="A39" s="3" t="s">
        <v>1087</v>
      </c>
      <c r="B39" s="3" t="s">
        <v>1088</v>
      </c>
      <c r="C39" s="3" t="s">
        <v>1080</v>
      </c>
      <c r="D39" s="3" t="s">
        <v>891</v>
      </c>
      <c r="E39" s="3" t="s">
        <v>891</v>
      </c>
      <c r="F39" s="3" t="s">
        <v>85</v>
      </c>
      <c r="G39" s="3" t="s">
        <v>311</v>
      </c>
      <c r="H39" s="3" t="str">
        <f>VLOOKUP(A39,'Zipper 9-24'!A5:A50,1,0)</f>
        <v xml:space="preserve">10.213.32.218 </v>
      </c>
    </row>
    <row r="40" spans="1:8" s="3" customFormat="1" x14ac:dyDescent="0.25">
      <c r="A40" s="3" t="s">
        <v>1041</v>
      </c>
      <c r="B40" s="3" t="s">
        <v>1042</v>
      </c>
      <c r="C40" s="3" t="s">
        <v>1043</v>
      </c>
      <c r="D40" s="3" t="s">
        <v>891</v>
      </c>
      <c r="E40" s="3" t="s">
        <v>891</v>
      </c>
      <c r="F40" s="3" t="s">
        <v>891</v>
      </c>
      <c r="G40" s="3" t="s">
        <v>311</v>
      </c>
      <c r="H40" s="3" t="e">
        <f>VLOOKUP(A40,'Zipper 9-24'!A40:A85,1,0)</f>
        <v>#N/A</v>
      </c>
    </row>
    <row r="41" spans="1:8" s="3" customFormat="1" x14ac:dyDescent="0.25">
      <c r="A41" s="3" t="s">
        <v>1048</v>
      </c>
      <c r="B41" s="3" t="s">
        <v>1049</v>
      </c>
      <c r="C41" s="3" t="s">
        <v>1043</v>
      </c>
      <c r="D41" s="3" t="s">
        <v>891</v>
      </c>
      <c r="E41" s="3" t="s">
        <v>891</v>
      </c>
      <c r="F41" s="3" t="s">
        <v>891</v>
      </c>
      <c r="G41" s="3" t="s">
        <v>311</v>
      </c>
      <c r="H41" s="3" t="e">
        <f>VLOOKUP(A41,'Zipper 9-24'!A41:A86,1,0)</f>
        <v>#N/A</v>
      </c>
    </row>
    <row r="42" spans="1:8" s="3" customFormat="1" x14ac:dyDescent="0.25">
      <c r="A42" s="3" t="s">
        <v>1054</v>
      </c>
      <c r="B42" s="3" t="s">
        <v>1055</v>
      </c>
      <c r="C42" s="3" t="s">
        <v>982</v>
      </c>
      <c r="D42" s="3" t="s">
        <v>891</v>
      </c>
      <c r="E42" s="3" t="s">
        <v>891</v>
      </c>
      <c r="F42" s="3" t="s">
        <v>891</v>
      </c>
      <c r="G42" s="3" t="s">
        <v>311</v>
      </c>
      <c r="H42" s="3" t="e">
        <f>VLOOKUP(A42,'Zipper 9-24'!A42:A87,1,0)</f>
        <v>#N/A</v>
      </c>
    </row>
    <row r="43" spans="1:8" s="3" customFormat="1" x14ac:dyDescent="0.25">
      <c r="A43" s="3" t="s">
        <v>1060</v>
      </c>
      <c r="B43" s="3" t="s">
        <v>1061</v>
      </c>
      <c r="C43" s="3" t="s">
        <v>982</v>
      </c>
      <c r="D43" s="3" t="s">
        <v>891</v>
      </c>
      <c r="E43" s="3" t="s">
        <v>891</v>
      </c>
      <c r="F43" s="3" t="s">
        <v>891</v>
      </c>
      <c r="G43" s="3" t="s">
        <v>311</v>
      </c>
      <c r="H43" s="3" t="e">
        <f>VLOOKUP(A43,'Zipper 9-24'!A43:A88,1,0)</f>
        <v>#N/A</v>
      </c>
    </row>
    <row r="44" spans="1:8" s="3" customFormat="1" x14ac:dyDescent="0.25">
      <c r="A44" s="3" t="s">
        <v>1106</v>
      </c>
      <c r="B44" s="3" t="s">
        <v>1107</v>
      </c>
      <c r="C44" s="3" t="s">
        <v>1080</v>
      </c>
      <c r="D44" s="3" t="s">
        <v>891</v>
      </c>
      <c r="E44" s="3" t="s">
        <v>891</v>
      </c>
      <c r="F44" s="3" t="s">
        <v>891</v>
      </c>
      <c r="G44" s="3" t="s">
        <v>311</v>
      </c>
      <c r="H44" s="3" t="str">
        <f>VLOOKUP(A44,'Zipper 9-24'!A44:A89,1,0)</f>
        <v xml:space="preserve">167.68.180.232 </v>
      </c>
    </row>
    <row r="45" spans="1:8" s="3" customFormat="1" x14ac:dyDescent="0.25">
      <c r="A45" s="3" t="s">
        <v>1108</v>
      </c>
      <c r="B45" s="3" t="s">
        <v>1109</v>
      </c>
      <c r="C45" s="3" t="s">
        <v>1080</v>
      </c>
      <c r="D45" s="3" t="s">
        <v>891</v>
      </c>
      <c r="E45" s="3" t="s">
        <v>891</v>
      </c>
      <c r="F45" s="3" t="s">
        <v>891</v>
      </c>
      <c r="G45" s="3" t="s">
        <v>311</v>
      </c>
      <c r="H45" s="3" t="str">
        <f>VLOOKUP(A45,'Zipper 9-24'!A45:A90,1,0)</f>
        <v xml:space="preserve">167.68.217.39 </v>
      </c>
    </row>
  </sheetData>
  <autoFilter ref="A1:H45">
    <sortState ref="A3:H45">
      <sortCondition sortBy="cellColor" ref="A1:A45" dxfId="0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pane ySplit="1" topLeftCell="A35" activePane="bottomLeft" state="frozen"/>
      <selection pane="bottomLeft" activeCell="B1" sqref="B1:B57"/>
    </sheetView>
  </sheetViews>
  <sheetFormatPr defaultRowHeight="15" x14ac:dyDescent="0.25"/>
  <cols>
    <col min="1" max="1" width="16" bestFit="1" customWidth="1"/>
    <col min="2" max="2" width="41.5703125" bestFit="1" customWidth="1"/>
    <col min="3" max="3" width="110" customWidth="1"/>
    <col min="4" max="4" width="32.42578125" bestFit="1" customWidth="1"/>
    <col min="5" max="5" width="12.7109375" bestFit="1" customWidth="1"/>
    <col min="6" max="6" width="10.5703125" customWidth="1"/>
    <col min="7" max="7" width="12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x14ac:dyDescent="0.25">
      <c r="A2" s="25" t="s">
        <v>898</v>
      </c>
      <c r="B2" s="25" t="s">
        <v>563</v>
      </c>
      <c r="C2" s="25" t="s">
        <v>915</v>
      </c>
      <c r="D2" s="25" t="s">
        <v>891</v>
      </c>
      <c r="E2" s="25" t="s">
        <v>891</v>
      </c>
      <c r="F2" s="25"/>
      <c r="G2" s="25" t="s">
        <v>891</v>
      </c>
    </row>
    <row r="3" spans="1:7" s="25" customFormat="1" x14ac:dyDescent="0.25">
      <c r="A3" s="25" t="s">
        <v>899</v>
      </c>
      <c r="B3" s="25" t="s">
        <v>564</v>
      </c>
      <c r="C3" s="25" t="s">
        <v>915</v>
      </c>
      <c r="D3" s="25" t="s">
        <v>891</v>
      </c>
      <c r="E3" s="25" t="s">
        <v>891</v>
      </c>
      <c r="G3" s="25" t="s">
        <v>891</v>
      </c>
    </row>
    <row r="4" spans="1:7" s="25" customFormat="1" x14ac:dyDescent="0.25">
      <c r="A4" s="25" t="s">
        <v>900</v>
      </c>
      <c r="B4" s="25" t="s">
        <v>426</v>
      </c>
      <c r="C4" s="25" t="s">
        <v>915</v>
      </c>
      <c r="D4" s="25" t="s">
        <v>891</v>
      </c>
      <c r="E4" s="25" t="s">
        <v>891</v>
      </c>
      <c r="G4" s="25" t="s">
        <v>891</v>
      </c>
    </row>
    <row r="5" spans="1:7" s="25" customFormat="1" x14ac:dyDescent="0.25">
      <c r="A5" s="25" t="s">
        <v>901</v>
      </c>
      <c r="B5" s="25" t="s">
        <v>565</v>
      </c>
      <c r="C5" s="25" t="s">
        <v>915</v>
      </c>
      <c r="D5" s="25" t="s">
        <v>891</v>
      </c>
      <c r="E5" s="25" t="s">
        <v>891</v>
      </c>
      <c r="G5" s="25" t="s">
        <v>891</v>
      </c>
    </row>
    <row r="6" spans="1:7" s="25" customFormat="1" x14ac:dyDescent="0.25">
      <c r="A6" s="24" t="s">
        <v>980</v>
      </c>
      <c r="B6" s="24" t="s">
        <v>981</v>
      </c>
      <c r="C6" s="24" t="s">
        <v>982</v>
      </c>
      <c r="D6" s="24" t="s">
        <v>891</v>
      </c>
      <c r="E6" s="24" t="s">
        <v>891</v>
      </c>
      <c r="F6" s="24"/>
      <c r="G6" s="24" t="s">
        <v>891</v>
      </c>
    </row>
    <row r="7" spans="1:7" s="3" customFormat="1" x14ac:dyDescent="0.25">
      <c r="A7" s="24" t="s">
        <v>983</v>
      </c>
      <c r="B7" s="24" t="s">
        <v>984</v>
      </c>
      <c r="C7" s="24" t="s">
        <v>982</v>
      </c>
      <c r="D7" s="24" t="s">
        <v>891</v>
      </c>
      <c r="E7" s="24" t="s">
        <v>891</v>
      </c>
      <c r="F7" s="24"/>
      <c r="G7" s="24" t="s">
        <v>891</v>
      </c>
    </row>
    <row r="8" spans="1:7" s="3" customFormat="1" x14ac:dyDescent="0.25">
      <c r="A8" s="24" t="s">
        <v>1054</v>
      </c>
      <c r="B8" s="24" t="s">
        <v>1055</v>
      </c>
      <c r="C8" s="24" t="s">
        <v>982</v>
      </c>
      <c r="D8" s="24" t="s">
        <v>891</v>
      </c>
      <c r="E8" s="24" t="s">
        <v>891</v>
      </c>
      <c r="F8" s="24"/>
      <c r="G8" s="24" t="s">
        <v>891</v>
      </c>
    </row>
    <row r="9" spans="1:7" x14ac:dyDescent="0.25">
      <c r="A9" s="24" t="s">
        <v>1060</v>
      </c>
      <c r="B9" s="24" t="s">
        <v>1061</v>
      </c>
      <c r="C9" s="24" t="s">
        <v>982</v>
      </c>
      <c r="D9" s="24" t="s">
        <v>891</v>
      </c>
      <c r="E9" s="24" t="s">
        <v>891</v>
      </c>
      <c r="F9" s="24"/>
      <c r="G9" s="24" t="s">
        <v>891</v>
      </c>
    </row>
    <row r="10" spans="1:7" x14ac:dyDescent="0.25">
      <c r="A10" s="24" t="s">
        <v>1041</v>
      </c>
      <c r="B10" s="24" t="s">
        <v>1042</v>
      </c>
      <c r="C10" s="24" t="s">
        <v>1043</v>
      </c>
      <c r="D10" s="24" t="s">
        <v>891</v>
      </c>
      <c r="E10" s="24" t="s">
        <v>891</v>
      </c>
      <c r="F10" s="24"/>
      <c r="G10" s="24" t="s">
        <v>891</v>
      </c>
    </row>
    <row r="11" spans="1:7" x14ac:dyDescent="0.25">
      <c r="A11" s="24" t="s">
        <v>1048</v>
      </c>
      <c r="B11" s="24" t="s">
        <v>1049</v>
      </c>
      <c r="C11" s="24" t="s">
        <v>1043</v>
      </c>
      <c r="D11" s="24" t="s">
        <v>891</v>
      </c>
      <c r="E11" s="24" t="s">
        <v>891</v>
      </c>
      <c r="F11" s="24"/>
      <c r="G11" s="24" t="s">
        <v>891</v>
      </c>
    </row>
    <row r="12" spans="1:7" s="3" customFormat="1" x14ac:dyDescent="0.25">
      <c r="A12" s="24" t="s">
        <v>976</v>
      </c>
      <c r="B12" s="24" t="s">
        <v>977</v>
      </c>
      <c r="C12" s="24" t="s">
        <v>951</v>
      </c>
      <c r="D12" s="24" t="s">
        <v>891</v>
      </c>
      <c r="E12" s="24" t="s">
        <v>891</v>
      </c>
      <c r="F12" s="24"/>
      <c r="G12" s="24" t="s">
        <v>891</v>
      </c>
    </row>
    <row r="13" spans="1:7" s="3" customFormat="1" x14ac:dyDescent="0.25">
      <c r="A13" s="24" t="s">
        <v>978</v>
      </c>
      <c r="B13" s="24" t="s">
        <v>979</v>
      </c>
      <c r="C13" s="24" t="s">
        <v>951</v>
      </c>
      <c r="D13" s="24" t="s">
        <v>891</v>
      </c>
      <c r="E13" s="24" t="s">
        <v>891</v>
      </c>
      <c r="F13" s="24"/>
      <c r="G13" s="24" t="s">
        <v>891</v>
      </c>
    </row>
    <row r="14" spans="1:7" s="3" customFormat="1" x14ac:dyDescent="0.25">
      <c r="A14" t="s">
        <v>1018</v>
      </c>
      <c r="B14" t="s">
        <v>1019</v>
      </c>
      <c r="C14" t="s">
        <v>960</v>
      </c>
      <c r="D14" t="s">
        <v>891</v>
      </c>
      <c r="E14" t="s">
        <v>891</v>
      </c>
      <c r="F14"/>
      <c r="G14" t="s">
        <v>891</v>
      </c>
    </row>
    <row r="15" spans="1:7" x14ac:dyDescent="0.25">
      <c r="A15" s="24" t="s">
        <v>1093</v>
      </c>
      <c r="B15" s="24" t="s">
        <v>1094</v>
      </c>
      <c r="C15" s="24" t="s">
        <v>1080</v>
      </c>
      <c r="D15" s="24" t="s">
        <v>891</v>
      </c>
      <c r="E15" s="24" t="s">
        <v>891</v>
      </c>
      <c r="F15" s="24"/>
      <c r="G15" s="24" t="s">
        <v>891</v>
      </c>
    </row>
    <row r="16" spans="1:7" s="3" customFormat="1" x14ac:dyDescent="0.25">
      <c r="A16" s="24" t="s">
        <v>1095</v>
      </c>
      <c r="B16" s="24" t="s">
        <v>1096</v>
      </c>
      <c r="C16" s="24" t="s">
        <v>1080</v>
      </c>
      <c r="D16" s="24" t="s">
        <v>891</v>
      </c>
      <c r="E16" s="24" t="s">
        <v>891</v>
      </c>
      <c r="F16" s="24"/>
      <c r="G16" s="24" t="s">
        <v>891</v>
      </c>
    </row>
    <row r="17" spans="1:7" s="23" customFormat="1" x14ac:dyDescent="0.25">
      <c r="A17" s="24" t="s">
        <v>1097</v>
      </c>
      <c r="B17" s="24" t="s">
        <v>1098</v>
      </c>
      <c r="C17" s="24" t="s">
        <v>1080</v>
      </c>
      <c r="D17" s="24" t="s">
        <v>891</v>
      </c>
      <c r="E17" s="24" t="s">
        <v>891</v>
      </c>
      <c r="F17" s="24"/>
      <c r="G17" s="24" t="s">
        <v>891</v>
      </c>
    </row>
    <row r="18" spans="1:7" s="24" customFormat="1" x14ac:dyDescent="0.25">
      <c r="A18" s="24" t="s">
        <v>1099</v>
      </c>
      <c r="B18" s="24" t="s">
        <v>1100</v>
      </c>
      <c r="C18" s="24" t="s">
        <v>1080</v>
      </c>
      <c r="D18" s="24" t="s">
        <v>891</v>
      </c>
      <c r="E18" s="24" t="s">
        <v>891</v>
      </c>
      <c r="G18" s="24" t="s">
        <v>891</v>
      </c>
    </row>
    <row r="19" spans="1:7" s="24" customFormat="1" x14ac:dyDescent="0.25">
      <c r="A19" s="24" t="s">
        <v>1101</v>
      </c>
      <c r="B19" s="24" t="s">
        <v>1102</v>
      </c>
      <c r="C19" s="24" t="s">
        <v>1080</v>
      </c>
      <c r="D19" s="24" t="s">
        <v>891</v>
      </c>
      <c r="E19" s="24" t="s">
        <v>891</v>
      </c>
      <c r="G19" s="24" t="s">
        <v>891</v>
      </c>
    </row>
    <row r="20" spans="1:7" s="3" customFormat="1" x14ac:dyDescent="0.25">
      <c r="A20" s="24" t="s">
        <v>1103</v>
      </c>
      <c r="B20" s="24" t="s">
        <v>1104</v>
      </c>
      <c r="C20" s="24" t="s">
        <v>1080</v>
      </c>
      <c r="D20" s="24" t="s">
        <v>891</v>
      </c>
      <c r="E20" s="24" t="s">
        <v>891</v>
      </c>
      <c r="F20" s="24"/>
      <c r="G20" s="24" t="s">
        <v>891</v>
      </c>
    </row>
    <row r="21" spans="1:7" s="24" customFormat="1" x14ac:dyDescent="0.25">
      <c r="A21" s="3" t="s">
        <v>1078</v>
      </c>
      <c r="B21" s="3" t="s">
        <v>1079</v>
      </c>
      <c r="C21" s="3" t="s">
        <v>1080</v>
      </c>
      <c r="D21" s="3" t="s">
        <v>891</v>
      </c>
      <c r="E21" s="3" t="s">
        <v>891</v>
      </c>
      <c r="F21" s="3"/>
      <c r="G21" s="3" t="s">
        <v>311</v>
      </c>
    </row>
    <row r="22" spans="1:7" x14ac:dyDescent="0.25">
      <c r="A22" t="s">
        <v>1081</v>
      </c>
      <c r="B22" t="s">
        <v>1082</v>
      </c>
      <c r="C22" t="s">
        <v>1080</v>
      </c>
      <c r="D22" t="s">
        <v>1154</v>
      </c>
      <c r="E22" t="s">
        <v>1155</v>
      </c>
      <c r="F22" t="s">
        <v>1180</v>
      </c>
      <c r="G22" t="s">
        <v>891</v>
      </c>
    </row>
    <row r="23" spans="1:7" x14ac:dyDescent="0.25">
      <c r="A23" t="s">
        <v>1083</v>
      </c>
      <c r="B23" t="s">
        <v>1084</v>
      </c>
      <c r="C23" t="s">
        <v>1080</v>
      </c>
      <c r="D23" t="s">
        <v>1156</v>
      </c>
      <c r="E23" t="s">
        <v>1157</v>
      </c>
      <c r="F23" t="s">
        <v>1180</v>
      </c>
      <c r="G23" t="s">
        <v>891</v>
      </c>
    </row>
    <row r="24" spans="1:7" s="24" customFormat="1" x14ac:dyDescent="0.25">
      <c r="A24" t="s">
        <v>1085</v>
      </c>
      <c r="B24" t="s">
        <v>1086</v>
      </c>
      <c r="C24" t="s">
        <v>1080</v>
      </c>
      <c r="D24" t="s">
        <v>1158</v>
      </c>
      <c r="E24" t="s">
        <v>1159</v>
      </c>
      <c r="F24" t="s">
        <v>1180</v>
      </c>
      <c r="G24" t="s">
        <v>891</v>
      </c>
    </row>
    <row r="25" spans="1:7" s="24" customFormat="1" x14ac:dyDescent="0.25">
      <c r="A25" s="3" t="s">
        <v>1087</v>
      </c>
      <c r="B25" s="3" t="s">
        <v>1088</v>
      </c>
      <c r="C25" s="3" t="s">
        <v>1080</v>
      </c>
      <c r="D25" s="3" t="s">
        <v>891</v>
      </c>
      <c r="E25" s="3" t="s">
        <v>891</v>
      </c>
      <c r="F25" s="3" t="s">
        <v>85</v>
      </c>
      <c r="G25" s="3" t="s">
        <v>311</v>
      </c>
    </row>
    <row r="26" spans="1:7" s="24" customFormat="1" x14ac:dyDescent="0.25">
      <c r="A26" t="s">
        <v>1106</v>
      </c>
      <c r="B26" t="s">
        <v>1107</v>
      </c>
      <c r="C26" t="s">
        <v>1080</v>
      </c>
      <c r="D26" t="s">
        <v>891</v>
      </c>
      <c r="E26" t="s">
        <v>891</v>
      </c>
      <c r="F26"/>
      <c r="G26" t="s">
        <v>891</v>
      </c>
    </row>
    <row r="27" spans="1:7" s="24" customFormat="1" x14ac:dyDescent="0.25">
      <c r="A27" s="3" t="s">
        <v>1108</v>
      </c>
      <c r="B27" s="3" t="s">
        <v>1109</v>
      </c>
      <c r="C27" s="3" t="s">
        <v>1080</v>
      </c>
      <c r="D27" s="3" t="s">
        <v>891</v>
      </c>
      <c r="E27" s="3" t="s">
        <v>891</v>
      </c>
      <c r="F27" s="3" t="s">
        <v>679</v>
      </c>
      <c r="G27" s="3" t="s">
        <v>311</v>
      </c>
    </row>
    <row r="28" spans="1:7" s="24" customFormat="1" x14ac:dyDescent="0.25">
      <c r="A28" s="26" t="s">
        <v>1111</v>
      </c>
      <c r="B28" s="26" t="s">
        <v>1112</v>
      </c>
      <c r="C28" s="26" t="s">
        <v>1113</v>
      </c>
      <c r="D28" s="26" t="s">
        <v>891</v>
      </c>
      <c r="E28" s="26" t="s">
        <v>891</v>
      </c>
      <c r="F28" s="26"/>
      <c r="G28" s="26" t="s">
        <v>891</v>
      </c>
    </row>
    <row r="29" spans="1:7" x14ac:dyDescent="0.25">
      <c r="A29" s="24" t="s">
        <v>1114</v>
      </c>
      <c r="B29" s="24" t="s">
        <v>1115</v>
      </c>
      <c r="C29" s="24" t="s">
        <v>1113</v>
      </c>
      <c r="D29" s="24" t="s">
        <v>891</v>
      </c>
      <c r="E29" s="24" t="s">
        <v>891</v>
      </c>
      <c r="F29" s="24"/>
      <c r="G29" s="24" t="s">
        <v>891</v>
      </c>
    </row>
    <row r="30" spans="1:7" s="24" customFormat="1" x14ac:dyDescent="0.25">
      <c r="A30" s="24" t="s">
        <v>1116</v>
      </c>
      <c r="B30" s="24" t="s">
        <v>1117</v>
      </c>
      <c r="C30" s="24" t="s">
        <v>1113</v>
      </c>
      <c r="D30" s="24" t="s">
        <v>891</v>
      </c>
      <c r="E30" s="24" t="s">
        <v>891</v>
      </c>
      <c r="G30" s="24" t="s">
        <v>891</v>
      </c>
    </row>
    <row r="31" spans="1:7" s="24" customFormat="1" x14ac:dyDescent="0.25">
      <c r="A31" s="24" t="s">
        <v>1148</v>
      </c>
      <c r="B31" s="24" t="s">
        <v>1147</v>
      </c>
      <c r="C31" s="24" t="s">
        <v>1138</v>
      </c>
      <c r="D31" s="24" t="s">
        <v>891</v>
      </c>
      <c r="E31" s="24" t="s">
        <v>891</v>
      </c>
      <c r="G31" s="24" t="s">
        <v>891</v>
      </c>
    </row>
    <row r="32" spans="1:7" s="24" customFormat="1" x14ac:dyDescent="0.25">
      <c r="A32" s="24" t="s">
        <v>1146</v>
      </c>
      <c r="B32" s="24" t="s">
        <v>1169</v>
      </c>
      <c r="C32" s="24" t="s">
        <v>1138</v>
      </c>
      <c r="D32" s="24" t="s">
        <v>891</v>
      </c>
      <c r="E32" s="24" t="s">
        <v>891</v>
      </c>
      <c r="G32" s="24" t="s">
        <v>891</v>
      </c>
    </row>
    <row r="33" spans="1:7" s="24" customFormat="1" x14ac:dyDescent="0.25">
      <c r="A33" s="24" t="s">
        <v>1144</v>
      </c>
      <c r="B33" s="24" t="s">
        <v>1170</v>
      </c>
      <c r="C33" s="24" t="s">
        <v>1138</v>
      </c>
      <c r="D33" s="24" t="s">
        <v>891</v>
      </c>
      <c r="E33" s="24" t="s">
        <v>891</v>
      </c>
      <c r="G33" s="24" t="s">
        <v>891</v>
      </c>
    </row>
    <row r="34" spans="1:7" x14ac:dyDescent="0.25">
      <c r="A34" s="24" t="s">
        <v>1142</v>
      </c>
      <c r="B34" s="24" t="s">
        <v>1171</v>
      </c>
      <c r="C34" s="24" t="s">
        <v>1138</v>
      </c>
      <c r="D34" s="24" t="s">
        <v>891</v>
      </c>
      <c r="E34" s="24" t="s">
        <v>891</v>
      </c>
      <c r="F34" s="24"/>
      <c r="G34" s="24" t="s">
        <v>891</v>
      </c>
    </row>
    <row r="35" spans="1:7" x14ac:dyDescent="0.25">
      <c r="A35" s="3" t="s">
        <v>1152</v>
      </c>
      <c r="B35" s="3" t="s">
        <v>1139</v>
      </c>
      <c r="C35" s="3" t="s">
        <v>1153</v>
      </c>
      <c r="D35" s="3" t="s">
        <v>891</v>
      </c>
      <c r="E35" s="3" t="s">
        <v>891</v>
      </c>
      <c r="F35" s="3" t="s">
        <v>85</v>
      </c>
      <c r="G35" s="3" t="s">
        <v>311</v>
      </c>
    </row>
    <row r="36" spans="1:7" s="24" customFormat="1" x14ac:dyDescent="0.25">
      <c r="A36" s="3" t="s">
        <v>1160</v>
      </c>
      <c r="B36" s="3" t="s">
        <v>1161</v>
      </c>
      <c r="C36" s="3" t="s">
        <v>1153</v>
      </c>
      <c r="D36" s="3" t="s">
        <v>891</v>
      </c>
      <c r="E36" s="3" t="s">
        <v>891</v>
      </c>
      <c r="F36" s="3" t="s">
        <v>679</v>
      </c>
      <c r="G36" s="3" t="s">
        <v>311</v>
      </c>
    </row>
    <row r="37" spans="1:7" s="24" customFormat="1" x14ac:dyDescent="0.25">
      <c r="A37" s="3" t="s">
        <v>1162</v>
      </c>
      <c r="B37" s="3" t="s">
        <v>1163</v>
      </c>
      <c r="C37" s="3" t="s">
        <v>1153</v>
      </c>
      <c r="D37" s="3" t="s">
        <v>891</v>
      </c>
      <c r="E37" s="3" t="s">
        <v>891</v>
      </c>
      <c r="F37" s="3" t="s">
        <v>679</v>
      </c>
      <c r="G37" s="3" t="s">
        <v>311</v>
      </c>
    </row>
    <row r="38" spans="1:7" s="24" customFormat="1" x14ac:dyDescent="0.25">
      <c r="A38" s="3" t="s">
        <v>1164</v>
      </c>
      <c r="B38" s="3" t="s">
        <v>1165</v>
      </c>
      <c r="C38" s="3" t="s">
        <v>1166</v>
      </c>
      <c r="D38" s="3" t="s">
        <v>891</v>
      </c>
      <c r="E38" s="3" t="s">
        <v>891</v>
      </c>
      <c r="F38" s="3" t="s">
        <v>596</v>
      </c>
      <c r="G38" s="3" t="s">
        <v>311</v>
      </c>
    </row>
    <row r="39" spans="1:7" s="24" customFormat="1" x14ac:dyDescent="0.25">
      <c r="A39" s="3" t="s">
        <v>1167</v>
      </c>
      <c r="B39" s="3" t="s">
        <v>1168</v>
      </c>
      <c r="C39" s="3" t="s">
        <v>1166</v>
      </c>
      <c r="D39" s="3" t="s">
        <v>891</v>
      </c>
      <c r="E39" s="3" t="s">
        <v>891</v>
      </c>
      <c r="F39" s="3" t="s">
        <v>85</v>
      </c>
      <c r="G39" s="3" t="s">
        <v>311</v>
      </c>
    </row>
    <row r="40" spans="1:7" s="24" customFormat="1" x14ac:dyDescent="0.25">
      <c r="A40" t="s">
        <v>1172</v>
      </c>
      <c r="B40" t="s">
        <v>1173</v>
      </c>
      <c r="C40" t="s">
        <v>1166</v>
      </c>
      <c r="D40" t="s">
        <v>891</v>
      </c>
      <c r="E40" t="s">
        <v>891</v>
      </c>
      <c r="F40"/>
      <c r="G40" t="s">
        <v>891</v>
      </c>
    </row>
    <row r="41" spans="1:7" x14ac:dyDescent="0.25">
      <c r="A41" s="3" t="s">
        <v>1176</v>
      </c>
      <c r="B41" s="3" t="s">
        <v>1177</v>
      </c>
      <c r="C41" s="3" t="s">
        <v>1166</v>
      </c>
      <c r="D41" s="3" t="s">
        <v>891</v>
      </c>
      <c r="E41" s="3" t="s">
        <v>891</v>
      </c>
      <c r="F41" s="3"/>
      <c r="G41" s="3" t="s">
        <v>891</v>
      </c>
    </row>
    <row r="42" spans="1:7" x14ac:dyDescent="0.25">
      <c r="A42" s="3" t="s">
        <v>1178</v>
      </c>
      <c r="B42" s="3" t="s">
        <v>1179</v>
      </c>
      <c r="C42" s="3" t="s">
        <v>1166</v>
      </c>
      <c r="D42" s="3" t="s">
        <v>891</v>
      </c>
      <c r="E42" s="3" t="s">
        <v>891</v>
      </c>
      <c r="F42" s="3"/>
      <c r="G42" s="3" t="s">
        <v>891</v>
      </c>
    </row>
    <row r="43" spans="1:7" s="24" customFormat="1" x14ac:dyDescent="0.25">
      <c r="A43" s="24" t="s">
        <v>1035</v>
      </c>
      <c r="B43" s="24" t="s">
        <v>1036</v>
      </c>
      <c r="C43" s="24" t="s">
        <v>1037</v>
      </c>
      <c r="D43" s="24" t="s">
        <v>891</v>
      </c>
      <c r="E43" s="24" t="s">
        <v>891</v>
      </c>
      <c r="F43" s="24" t="s">
        <v>679</v>
      </c>
      <c r="G43" s="24" t="s">
        <v>311</v>
      </c>
    </row>
    <row r="44" spans="1:7" s="24" customFormat="1" x14ac:dyDescent="0.25">
      <c r="A44" s="24" t="s">
        <v>1023</v>
      </c>
      <c r="B44" s="24" t="s">
        <v>1024</v>
      </c>
      <c r="C44" s="24" t="s">
        <v>203</v>
      </c>
      <c r="D44" s="24" t="s">
        <v>891</v>
      </c>
      <c r="E44" s="24" t="s">
        <v>891</v>
      </c>
      <c r="G44" s="24" t="s">
        <v>891</v>
      </c>
    </row>
    <row r="45" spans="1:7" s="24" customFormat="1" x14ac:dyDescent="0.25">
      <c r="A45" s="24" t="s">
        <v>1025</v>
      </c>
      <c r="B45" s="24" t="s">
        <v>1026</v>
      </c>
      <c r="C45" s="24" t="s">
        <v>1027</v>
      </c>
      <c r="D45" s="24" t="s">
        <v>891</v>
      </c>
      <c r="E45" s="24" t="s">
        <v>891</v>
      </c>
      <c r="G45" s="24" t="s">
        <v>891</v>
      </c>
    </row>
    <row r="46" spans="1:7" x14ac:dyDescent="0.25">
      <c r="A46" s="24" t="s">
        <v>908</v>
      </c>
      <c r="B46" s="24" t="s">
        <v>324</v>
      </c>
      <c r="C46" s="24" t="s">
        <v>200</v>
      </c>
      <c r="D46" s="24" t="s">
        <v>891</v>
      </c>
      <c r="E46" s="24" t="s">
        <v>891</v>
      </c>
      <c r="F46" s="24"/>
      <c r="G46" s="24" t="s">
        <v>891</v>
      </c>
    </row>
    <row r="47" spans="1:7" x14ac:dyDescent="0.25">
      <c r="A47" s="24" t="s">
        <v>969</v>
      </c>
      <c r="B47" s="24" t="s">
        <v>970</v>
      </c>
      <c r="C47" s="24" t="s">
        <v>971</v>
      </c>
      <c r="D47" s="24" t="s">
        <v>891</v>
      </c>
      <c r="E47" s="24" t="s">
        <v>891</v>
      </c>
      <c r="F47" s="24"/>
      <c r="G47" s="24" t="s">
        <v>891</v>
      </c>
    </row>
    <row r="48" spans="1:7" s="24" customFormat="1" x14ac:dyDescent="0.25">
      <c r="A48" t="s">
        <v>897</v>
      </c>
      <c r="B48" t="s">
        <v>285</v>
      </c>
      <c r="C48" t="s">
        <v>246</v>
      </c>
      <c r="D48" t="s">
        <v>285</v>
      </c>
      <c r="E48" t="s">
        <v>17</v>
      </c>
      <c r="F48"/>
      <c r="G48" t="s">
        <v>891</v>
      </c>
    </row>
    <row r="49" spans="1:7" x14ac:dyDescent="0.25">
      <c r="A49" t="s">
        <v>972</v>
      </c>
      <c r="B49" t="s">
        <v>973</v>
      </c>
      <c r="C49" t="s">
        <v>974</v>
      </c>
      <c r="D49" t="s">
        <v>1121</v>
      </c>
      <c r="E49" t="s">
        <v>975</v>
      </c>
      <c r="G49" t="s">
        <v>891</v>
      </c>
    </row>
    <row r="50" spans="1:7" s="24" customFormat="1" x14ac:dyDescent="0.25">
      <c r="A50" t="s">
        <v>909</v>
      </c>
      <c r="B50" t="s">
        <v>528</v>
      </c>
      <c r="C50" t="s">
        <v>920</v>
      </c>
      <c r="D50" t="s">
        <v>528</v>
      </c>
      <c r="E50" t="s">
        <v>509</v>
      </c>
      <c r="F50"/>
      <c r="G50" t="s">
        <v>891</v>
      </c>
    </row>
    <row r="51" spans="1:7" s="24" customFormat="1" x14ac:dyDescent="0.25">
      <c r="A51" t="s">
        <v>910</v>
      </c>
      <c r="B51" t="s">
        <v>529</v>
      </c>
      <c r="C51" t="s">
        <v>920</v>
      </c>
      <c r="D51" t="s">
        <v>529</v>
      </c>
      <c r="E51" t="s">
        <v>510</v>
      </c>
      <c r="F51"/>
      <c r="G51" t="s">
        <v>891</v>
      </c>
    </row>
    <row r="52" spans="1:7" s="24" customFormat="1" x14ac:dyDescent="0.25">
      <c r="A52" t="s">
        <v>906</v>
      </c>
      <c r="B52" t="s">
        <v>648</v>
      </c>
      <c r="C52" t="s">
        <v>918</v>
      </c>
      <c r="D52" t="s">
        <v>648</v>
      </c>
      <c r="E52" t="s">
        <v>647</v>
      </c>
      <c r="F52"/>
      <c r="G52" t="s">
        <v>891</v>
      </c>
    </row>
    <row r="53" spans="1:7" s="24" customFormat="1" x14ac:dyDescent="0.25">
      <c r="A53" t="s">
        <v>1006</v>
      </c>
      <c r="B53" t="s">
        <v>1007</v>
      </c>
      <c r="C53" t="s">
        <v>1008</v>
      </c>
      <c r="D53" t="s">
        <v>1123</v>
      </c>
      <c r="E53" t="s">
        <v>1009</v>
      </c>
      <c r="F53"/>
      <c r="G53" t="s">
        <v>891</v>
      </c>
    </row>
    <row r="54" spans="1:7" x14ac:dyDescent="0.25">
      <c r="A54" t="s">
        <v>1028</v>
      </c>
      <c r="B54" t="s">
        <v>1029</v>
      </c>
      <c r="C54" t="s">
        <v>1131</v>
      </c>
      <c r="D54" t="s">
        <v>1029</v>
      </c>
      <c r="E54" t="s">
        <v>1031</v>
      </c>
      <c r="G54" t="s">
        <v>891</v>
      </c>
    </row>
    <row r="55" spans="1:7" s="3" customFormat="1" x14ac:dyDescent="0.25">
      <c r="A55" t="s">
        <v>1032</v>
      </c>
      <c r="B55" t="s">
        <v>1033</v>
      </c>
      <c r="C55" t="s">
        <v>1131</v>
      </c>
      <c r="D55" t="s">
        <v>1033</v>
      </c>
      <c r="E55" t="s">
        <v>1034</v>
      </c>
      <c r="F55"/>
      <c r="G55" t="s">
        <v>891</v>
      </c>
    </row>
    <row r="56" spans="1:7" s="3" customFormat="1" x14ac:dyDescent="0.25">
      <c r="A56" t="s">
        <v>993</v>
      </c>
      <c r="B56" t="s">
        <v>994</v>
      </c>
      <c r="C56" t="s">
        <v>1174</v>
      </c>
      <c r="D56" t="s">
        <v>891</v>
      </c>
      <c r="E56" t="s">
        <v>891</v>
      </c>
      <c r="F56"/>
      <c r="G56" t="s">
        <v>891</v>
      </c>
    </row>
    <row r="57" spans="1:7" s="3" customFormat="1" x14ac:dyDescent="0.25">
      <c r="A57" t="s">
        <v>1038</v>
      </c>
      <c r="B57" t="s">
        <v>1039</v>
      </c>
      <c r="C57" t="s">
        <v>1175</v>
      </c>
      <c r="D57" t="s">
        <v>1039</v>
      </c>
      <c r="E57" t="s">
        <v>1040</v>
      </c>
      <c r="F57"/>
      <c r="G57" t="s">
        <v>891</v>
      </c>
    </row>
  </sheetData>
  <autoFilter ref="A1:G1">
    <sortState ref="A2:G47">
      <sortCondition ref="C1"/>
    </sortState>
  </autoFilter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zoomScale="85" zoomScaleNormal="85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9.28515625" bestFit="1" customWidth="1"/>
    <col min="2" max="2" width="32.5703125" bestFit="1" customWidth="1"/>
    <col min="3" max="3" width="84.140625" bestFit="1" customWidth="1"/>
    <col min="4" max="4" width="32.5703125" bestFit="1" customWidth="1"/>
    <col min="5" max="5" width="13.42578125" bestFit="1" customWidth="1"/>
    <col min="6" max="6" width="9.28515625" bestFit="1" customWidth="1"/>
    <col min="7" max="7" width="15.5703125" bestFit="1" customWidth="1"/>
    <col min="8" max="8" width="44" bestFit="1" customWidth="1"/>
    <col min="9" max="9" width="17.5703125" bestFit="1" customWidth="1"/>
  </cols>
  <sheetData>
    <row r="1" spans="1:9" x14ac:dyDescent="0.25">
      <c r="A1" t="s">
        <v>887</v>
      </c>
      <c r="B1" t="s">
        <v>1215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  <c r="H1" t="s">
        <v>1217</v>
      </c>
      <c r="I1" t="s">
        <v>1216</v>
      </c>
    </row>
    <row r="2" spans="1:9" s="3" customFormat="1" x14ac:dyDescent="0.25">
      <c r="A2" s="3" t="s">
        <v>1181</v>
      </c>
      <c r="B2" s="3" t="s">
        <v>1182</v>
      </c>
      <c r="C2" s="3" t="s">
        <v>1183</v>
      </c>
      <c r="D2" s="3" t="s">
        <v>891</v>
      </c>
      <c r="E2" s="3" t="s">
        <v>891</v>
      </c>
      <c r="F2" s="3" t="s">
        <v>679</v>
      </c>
      <c r="G2" s="3" t="s">
        <v>311</v>
      </c>
      <c r="H2" s="25" t="s">
        <v>563</v>
      </c>
    </row>
    <row r="3" spans="1:9" x14ac:dyDescent="0.25">
      <c r="A3" t="s">
        <v>906</v>
      </c>
      <c r="B3" t="s">
        <v>648</v>
      </c>
      <c r="C3" t="s">
        <v>918</v>
      </c>
      <c r="D3" t="s">
        <v>648</v>
      </c>
      <c r="E3" t="s">
        <v>647</v>
      </c>
      <c r="F3" t="s">
        <v>891</v>
      </c>
      <c r="G3" t="s">
        <v>891</v>
      </c>
      <c r="H3" s="25" t="s">
        <v>564</v>
      </c>
    </row>
    <row r="4" spans="1:9" s="3" customFormat="1" x14ac:dyDescent="0.25">
      <c r="A4" s="3" t="s">
        <v>1087</v>
      </c>
      <c r="B4" s="3" t="s">
        <v>1088</v>
      </c>
      <c r="C4" s="3" t="s">
        <v>1080</v>
      </c>
      <c r="D4" s="3" t="s">
        <v>891</v>
      </c>
      <c r="E4" s="3" t="s">
        <v>891</v>
      </c>
      <c r="F4" s="3" t="s">
        <v>599</v>
      </c>
      <c r="G4" s="3" t="s">
        <v>311</v>
      </c>
      <c r="H4" s="25" t="s">
        <v>426</v>
      </c>
    </row>
    <row r="5" spans="1:9" s="3" customFormat="1" x14ac:dyDescent="0.25">
      <c r="A5" s="3" t="s">
        <v>1111</v>
      </c>
      <c r="B5" s="3" t="s">
        <v>1112</v>
      </c>
      <c r="C5" s="3" t="s">
        <v>1113</v>
      </c>
      <c r="D5" s="3" t="s">
        <v>891</v>
      </c>
      <c r="E5" s="3" t="s">
        <v>891</v>
      </c>
      <c r="F5" s="3" t="s">
        <v>599</v>
      </c>
      <c r="G5" s="3" t="s">
        <v>311</v>
      </c>
      <c r="H5" s="25" t="s">
        <v>565</v>
      </c>
    </row>
    <row r="6" spans="1:9" s="3" customFormat="1" x14ac:dyDescent="0.25">
      <c r="A6" s="3" t="s">
        <v>1114</v>
      </c>
      <c r="B6" s="3" t="s">
        <v>1115</v>
      </c>
      <c r="C6" s="3" t="s">
        <v>1113</v>
      </c>
      <c r="D6" s="3" t="s">
        <v>891</v>
      </c>
      <c r="E6" s="3" t="s">
        <v>891</v>
      </c>
      <c r="F6" s="3" t="s">
        <v>599</v>
      </c>
      <c r="G6" s="3" t="s">
        <v>311</v>
      </c>
      <c r="H6" s="24" t="s">
        <v>981</v>
      </c>
    </row>
    <row r="7" spans="1:9" s="3" customFormat="1" x14ac:dyDescent="0.25">
      <c r="A7" s="3" t="s">
        <v>1116</v>
      </c>
      <c r="B7" s="3" t="s">
        <v>1117</v>
      </c>
      <c r="C7" s="3" t="s">
        <v>1113</v>
      </c>
      <c r="D7" s="3" t="s">
        <v>891</v>
      </c>
      <c r="E7" s="3" t="s">
        <v>891</v>
      </c>
      <c r="F7" s="3" t="s">
        <v>599</v>
      </c>
      <c r="G7" s="3" t="s">
        <v>311</v>
      </c>
      <c r="H7" s="24" t="s">
        <v>984</v>
      </c>
    </row>
    <row r="8" spans="1:9" s="3" customFormat="1" x14ac:dyDescent="0.25">
      <c r="A8" s="3" t="s">
        <v>1184</v>
      </c>
      <c r="B8" s="3" t="s">
        <v>1185</v>
      </c>
      <c r="C8" s="3" t="s">
        <v>1183</v>
      </c>
      <c r="D8" s="3" t="s">
        <v>891</v>
      </c>
      <c r="E8" s="3" t="s">
        <v>891</v>
      </c>
      <c r="F8" s="3" t="s">
        <v>599</v>
      </c>
      <c r="G8" s="3" t="s">
        <v>311</v>
      </c>
      <c r="H8" s="24" t="s">
        <v>1055</v>
      </c>
    </row>
    <row r="9" spans="1:9" s="3" customFormat="1" x14ac:dyDescent="0.25">
      <c r="A9" s="3" t="s">
        <v>1186</v>
      </c>
      <c r="B9" s="3" t="s">
        <v>1187</v>
      </c>
      <c r="C9" s="3" t="s">
        <v>1183</v>
      </c>
      <c r="D9" s="3" t="s">
        <v>891</v>
      </c>
      <c r="E9" s="3" t="s">
        <v>891</v>
      </c>
      <c r="F9" s="3" t="s">
        <v>599</v>
      </c>
      <c r="G9" s="3" t="s">
        <v>311</v>
      </c>
      <c r="H9" s="24" t="s">
        <v>1061</v>
      </c>
    </row>
    <row r="10" spans="1:9" s="3" customFormat="1" x14ac:dyDescent="0.25">
      <c r="A10" s="3" t="s">
        <v>1188</v>
      </c>
      <c r="B10" s="3" t="s">
        <v>1189</v>
      </c>
      <c r="C10" s="3" t="s">
        <v>1183</v>
      </c>
      <c r="D10" s="3" t="s">
        <v>891</v>
      </c>
      <c r="E10" s="3" t="s">
        <v>891</v>
      </c>
      <c r="F10" s="3" t="s">
        <v>599</v>
      </c>
      <c r="G10" s="3" t="s">
        <v>311</v>
      </c>
      <c r="H10" s="24" t="s">
        <v>1042</v>
      </c>
    </row>
    <row r="11" spans="1:9" s="3" customFormat="1" x14ac:dyDescent="0.25">
      <c r="A11" s="3" t="s">
        <v>1190</v>
      </c>
      <c r="B11" s="3" t="s">
        <v>1191</v>
      </c>
      <c r="C11" s="3" t="s">
        <v>1183</v>
      </c>
      <c r="D11" s="3" t="s">
        <v>891</v>
      </c>
      <c r="E11" s="3" t="s">
        <v>891</v>
      </c>
      <c r="F11" s="3" t="s">
        <v>599</v>
      </c>
      <c r="G11" s="3" t="s">
        <v>311</v>
      </c>
      <c r="H11" s="24" t="s">
        <v>1049</v>
      </c>
    </row>
    <row r="12" spans="1:9" s="3" customFormat="1" x14ac:dyDescent="0.25">
      <c r="A12" s="3" t="s">
        <v>1192</v>
      </c>
      <c r="B12" s="3" t="s">
        <v>1193</v>
      </c>
      <c r="C12" s="3" t="s">
        <v>1194</v>
      </c>
      <c r="D12" s="3" t="s">
        <v>891</v>
      </c>
      <c r="E12" s="3" t="s">
        <v>891</v>
      </c>
      <c r="F12" s="3" t="s">
        <v>599</v>
      </c>
      <c r="G12" s="3" t="s">
        <v>311</v>
      </c>
      <c r="H12" s="24" t="s">
        <v>977</v>
      </c>
    </row>
    <row r="13" spans="1:9" s="3" customFormat="1" x14ac:dyDescent="0.25">
      <c r="A13" s="3" t="s">
        <v>908</v>
      </c>
      <c r="B13" s="3" t="s">
        <v>324</v>
      </c>
      <c r="C13" s="3" t="s">
        <v>200</v>
      </c>
      <c r="D13" s="3" t="s">
        <v>891</v>
      </c>
      <c r="E13" s="3" t="s">
        <v>891</v>
      </c>
      <c r="F13" s="3" t="s">
        <v>1213</v>
      </c>
      <c r="G13" s="3" t="s">
        <v>311</v>
      </c>
      <c r="H13" s="24" t="s">
        <v>979</v>
      </c>
    </row>
    <row r="14" spans="1:9" s="3" customFormat="1" x14ac:dyDescent="0.25">
      <c r="A14" s="3" t="s">
        <v>1195</v>
      </c>
      <c r="B14" s="3" t="s">
        <v>1196</v>
      </c>
      <c r="C14" s="3" t="s">
        <v>1197</v>
      </c>
      <c r="D14" s="3" t="s">
        <v>891</v>
      </c>
      <c r="E14" s="3" t="s">
        <v>891</v>
      </c>
      <c r="F14" s="3" t="s">
        <v>596</v>
      </c>
      <c r="G14" s="3" t="s">
        <v>311</v>
      </c>
      <c r="H14" t="s">
        <v>1019</v>
      </c>
    </row>
    <row r="15" spans="1:9" s="3" customFormat="1" x14ac:dyDescent="0.25">
      <c r="A15" s="3" t="s">
        <v>1198</v>
      </c>
      <c r="B15" s="3" t="s">
        <v>1199</v>
      </c>
      <c r="C15" s="3" t="s">
        <v>1197</v>
      </c>
      <c r="D15" s="3" t="s">
        <v>891</v>
      </c>
      <c r="E15" s="3" t="s">
        <v>891</v>
      </c>
      <c r="F15" s="3" t="s">
        <v>891</v>
      </c>
      <c r="G15" s="3" t="s">
        <v>311</v>
      </c>
      <c r="H15" s="24" t="s">
        <v>1094</v>
      </c>
    </row>
    <row r="16" spans="1:9" x14ac:dyDescent="0.25">
      <c r="A16" t="s">
        <v>909</v>
      </c>
      <c r="B16" t="s">
        <v>528</v>
      </c>
      <c r="C16" t="s">
        <v>920</v>
      </c>
      <c r="D16" t="s">
        <v>528</v>
      </c>
      <c r="E16" t="s">
        <v>509</v>
      </c>
      <c r="F16" t="s">
        <v>891</v>
      </c>
      <c r="G16" t="s">
        <v>891</v>
      </c>
      <c r="H16" s="24" t="s">
        <v>1096</v>
      </c>
    </row>
    <row r="17" spans="1:8" x14ac:dyDescent="0.25">
      <c r="A17" t="s">
        <v>910</v>
      </c>
      <c r="B17" t="s">
        <v>529</v>
      </c>
      <c r="C17" t="s">
        <v>920</v>
      </c>
      <c r="D17" t="s">
        <v>529</v>
      </c>
      <c r="E17" t="s">
        <v>510</v>
      </c>
      <c r="F17" t="s">
        <v>891</v>
      </c>
      <c r="G17" t="s">
        <v>891</v>
      </c>
      <c r="H17" s="24" t="s">
        <v>1098</v>
      </c>
    </row>
    <row r="18" spans="1:8" s="3" customFormat="1" x14ac:dyDescent="0.25">
      <c r="A18" s="3" t="s">
        <v>1200</v>
      </c>
      <c r="B18" s="3" t="s">
        <v>1201</v>
      </c>
      <c r="C18" s="3" t="s">
        <v>1197</v>
      </c>
      <c r="D18" s="3" t="s">
        <v>891</v>
      </c>
      <c r="E18" s="3" t="s">
        <v>891</v>
      </c>
      <c r="F18" s="3" t="s">
        <v>599</v>
      </c>
      <c r="G18" s="3" t="s">
        <v>311</v>
      </c>
      <c r="H18" s="24" t="s">
        <v>1100</v>
      </c>
    </row>
    <row r="19" spans="1:8" s="3" customFormat="1" x14ac:dyDescent="0.25">
      <c r="A19" s="3" t="s">
        <v>1202</v>
      </c>
      <c r="B19" s="3" t="s">
        <v>1203</v>
      </c>
      <c r="C19" s="3" t="s">
        <v>1197</v>
      </c>
      <c r="D19" s="3" t="s">
        <v>891</v>
      </c>
      <c r="E19" s="3" t="s">
        <v>891</v>
      </c>
      <c r="F19" s="3" t="s">
        <v>1214</v>
      </c>
      <c r="G19" s="3" t="s">
        <v>311</v>
      </c>
      <c r="H19" s="24" t="s">
        <v>1102</v>
      </c>
    </row>
    <row r="20" spans="1:8" s="3" customFormat="1" x14ac:dyDescent="0.25">
      <c r="A20" s="3" t="s">
        <v>1148</v>
      </c>
      <c r="B20" s="3" t="s">
        <v>1147</v>
      </c>
      <c r="C20" s="3" t="s">
        <v>1138</v>
      </c>
      <c r="D20" s="3" t="s">
        <v>891</v>
      </c>
      <c r="E20" s="3" t="s">
        <v>891</v>
      </c>
      <c r="F20" s="3" t="s">
        <v>891</v>
      </c>
      <c r="G20" s="3" t="s">
        <v>311</v>
      </c>
      <c r="H20" s="24" t="s">
        <v>1104</v>
      </c>
    </row>
    <row r="21" spans="1:8" s="3" customFormat="1" x14ac:dyDescent="0.25">
      <c r="A21" s="3" t="s">
        <v>1146</v>
      </c>
      <c r="B21" s="3" t="s">
        <v>1169</v>
      </c>
      <c r="C21" s="3" t="s">
        <v>1138</v>
      </c>
      <c r="D21" s="3" t="s">
        <v>891</v>
      </c>
      <c r="E21" s="3" t="s">
        <v>891</v>
      </c>
      <c r="F21" s="3" t="s">
        <v>891</v>
      </c>
      <c r="G21" s="3" t="s">
        <v>311</v>
      </c>
      <c r="H21" s="3" t="s">
        <v>1079</v>
      </c>
    </row>
    <row r="22" spans="1:8" s="3" customFormat="1" x14ac:dyDescent="0.25">
      <c r="A22" s="3" t="s">
        <v>1144</v>
      </c>
      <c r="B22" s="3" t="s">
        <v>1170</v>
      </c>
      <c r="C22" s="3" t="s">
        <v>1138</v>
      </c>
      <c r="D22" s="3" t="s">
        <v>891</v>
      </c>
      <c r="E22" s="3" t="s">
        <v>891</v>
      </c>
      <c r="F22" s="3" t="s">
        <v>891</v>
      </c>
      <c r="G22" s="3" t="s">
        <v>311</v>
      </c>
      <c r="H22" t="s">
        <v>1082</v>
      </c>
    </row>
    <row r="23" spans="1:8" s="3" customFormat="1" x14ac:dyDescent="0.25">
      <c r="A23" s="3" t="s">
        <v>1142</v>
      </c>
      <c r="B23" s="3" t="s">
        <v>1171</v>
      </c>
      <c r="C23" s="3" t="s">
        <v>1138</v>
      </c>
      <c r="D23" s="3" t="s">
        <v>891</v>
      </c>
      <c r="E23" s="3" t="s">
        <v>891</v>
      </c>
      <c r="F23" s="3" t="s">
        <v>891</v>
      </c>
      <c r="G23" s="3" t="s">
        <v>311</v>
      </c>
      <c r="H23" t="s">
        <v>1084</v>
      </c>
    </row>
    <row r="24" spans="1:8" x14ac:dyDescent="0.25">
      <c r="A24" t="s">
        <v>897</v>
      </c>
      <c r="B24" t="s">
        <v>285</v>
      </c>
      <c r="C24" t="s">
        <v>246</v>
      </c>
      <c r="D24" t="s">
        <v>285</v>
      </c>
      <c r="E24" t="s">
        <v>17</v>
      </c>
      <c r="F24" t="s">
        <v>891</v>
      </c>
      <c r="G24" t="s">
        <v>891</v>
      </c>
      <c r="H24" t="s">
        <v>1086</v>
      </c>
    </row>
    <row r="25" spans="1:8" s="3" customFormat="1" x14ac:dyDescent="0.25">
      <c r="A25" s="3" t="s">
        <v>1204</v>
      </c>
      <c r="B25" s="3" t="s">
        <v>1205</v>
      </c>
      <c r="C25" s="3" t="s">
        <v>1206</v>
      </c>
      <c r="D25" s="3" t="s">
        <v>891</v>
      </c>
      <c r="E25" s="3" t="s">
        <v>891</v>
      </c>
      <c r="F25" s="3" t="s">
        <v>679</v>
      </c>
      <c r="G25" s="3" t="s">
        <v>311</v>
      </c>
      <c r="H25" s="3" t="s">
        <v>1088</v>
      </c>
    </row>
    <row r="26" spans="1:8" s="3" customFormat="1" x14ac:dyDescent="0.25">
      <c r="A26" s="3" t="s">
        <v>1207</v>
      </c>
      <c r="B26" s="3" t="s">
        <v>1208</v>
      </c>
      <c r="C26" s="3" t="s">
        <v>1206</v>
      </c>
      <c r="D26" s="3" t="s">
        <v>891</v>
      </c>
      <c r="E26" s="3" t="s">
        <v>891</v>
      </c>
      <c r="F26" s="3" t="s">
        <v>679</v>
      </c>
      <c r="G26" s="3" t="s">
        <v>311</v>
      </c>
      <c r="H26" t="s">
        <v>1107</v>
      </c>
    </row>
    <row r="27" spans="1:8" s="3" customFormat="1" x14ac:dyDescent="0.25">
      <c r="A27" s="3" t="s">
        <v>898</v>
      </c>
      <c r="B27" s="3" t="s">
        <v>563</v>
      </c>
      <c r="C27" s="3" t="s">
        <v>915</v>
      </c>
      <c r="D27" s="3" t="s">
        <v>891</v>
      </c>
      <c r="E27" s="3" t="s">
        <v>891</v>
      </c>
      <c r="F27" s="3" t="s">
        <v>891</v>
      </c>
      <c r="G27" s="3" t="s">
        <v>311</v>
      </c>
      <c r="H27" s="3" t="s">
        <v>1109</v>
      </c>
    </row>
    <row r="28" spans="1:8" s="3" customFormat="1" x14ac:dyDescent="0.25">
      <c r="A28" s="3" t="s">
        <v>899</v>
      </c>
      <c r="B28" s="3" t="s">
        <v>564</v>
      </c>
      <c r="C28" s="3" t="s">
        <v>915</v>
      </c>
      <c r="D28" s="3" t="s">
        <v>891</v>
      </c>
      <c r="E28" s="3" t="s">
        <v>891</v>
      </c>
      <c r="F28" s="3" t="s">
        <v>891</v>
      </c>
      <c r="G28" s="3" t="s">
        <v>311</v>
      </c>
      <c r="H28" s="26" t="s">
        <v>1112</v>
      </c>
    </row>
    <row r="29" spans="1:8" s="3" customFormat="1" x14ac:dyDescent="0.25">
      <c r="A29" s="3" t="s">
        <v>900</v>
      </c>
      <c r="B29" s="3" t="s">
        <v>426</v>
      </c>
      <c r="C29" s="3" t="s">
        <v>915</v>
      </c>
      <c r="D29" s="3" t="s">
        <v>891</v>
      </c>
      <c r="E29" s="3" t="s">
        <v>891</v>
      </c>
      <c r="F29" s="3" t="s">
        <v>891</v>
      </c>
      <c r="G29" s="3" t="s">
        <v>311</v>
      </c>
      <c r="H29" s="24" t="s">
        <v>1115</v>
      </c>
    </row>
    <row r="30" spans="1:8" s="3" customFormat="1" x14ac:dyDescent="0.25">
      <c r="A30" s="3" t="s">
        <v>901</v>
      </c>
      <c r="B30" s="3" t="s">
        <v>565</v>
      </c>
      <c r="C30" s="3" t="s">
        <v>915</v>
      </c>
      <c r="D30" s="3" t="s">
        <v>891</v>
      </c>
      <c r="E30" s="3" t="s">
        <v>891</v>
      </c>
      <c r="F30" s="3" t="s">
        <v>891</v>
      </c>
      <c r="G30" s="3" t="s">
        <v>311</v>
      </c>
      <c r="H30" s="24" t="s">
        <v>1117</v>
      </c>
    </row>
    <row r="31" spans="1:8" s="2" customFormat="1" x14ac:dyDescent="0.25">
      <c r="A31" s="2" t="s">
        <v>1078</v>
      </c>
      <c r="B31" s="2" t="s">
        <v>1079</v>
      </c>
      <c r="C31" s="2" t="s">
        <v>1080</v>
      </c>
      <c r="D31" s="2" t="s">
        <v>891</v>
      </c>
      <c r="E31" s="2" t="s">
        <v>891</v>
      </c>
      <c r="F31" s="2" t="s">
        <v>891</v>
      </c>
      <c r="G31" s="2" t="s">
        <v>891</v>
      </c>
      <c r="H31" s="24" t="s">
        <v>1147</v>
      </c>
    </row>
    <row r="32" spans="1:8" s="3" customFormat="1" x14ac:dyDescent="0.25">
      <c r="A32" s="3" t="s">
        <v>1209</v>
      </c>
      <c r="B32" s="3" t="s">
        <v>1210</v>
      </c>
      <c r="C32" s="3" t="s">
        <v>1197</v>
      </c>
      <c r="D32" s="3" t="s">
        <v>891</v>
      </c>
      <c r="E32" s="3" t="s">
        <v>891</v>
      </c>
      <c r="F32" s="3" t="s">
        <v>599</v>
      </c>
      <c r="G32" s="3" t="s">
        <v>311</v>
      </c>
      <c r="H32" s="24" t="s">
        <v>1169</v>
      </c>
    </row>
    <row r="33" spans="1:8" s="3" customFormat="1" x14ac:dyDescent="0.25">
      <c r="A33" s="3" t="s">
        <v>1211</v>
      </c>
      <c r="B33" s="3" t="s">
        <v>1212</v>
      </c>
      <c r="C33" s="3" t="s">
        <v>1183</v>
      </c>
      <c r="D33" s="3" t="s">
        <v>891</v>
      </c>
      <c r="E33" s="3" t="s">
        <v>891</v>
      </c>
      <c r="F33" s="3" t="s">
        <v>592</v>
      </c>
      <c r="G33" s="3" t="s">
        <v>311</v>
      </c>
      <c r="H33" s="24" t="s">
        <v>1170</v>
      </c>
    </row>
    <row r="34" spans="1:8" x14ac:dyDescent="0.25">
      <c r="H34" s="24" t="s">
        <v>1171</v>
      </c>
    </row>
    <row r="35" spans="1:8" x14ac:dyDescent="0.25">
      <c r="H35" s="3" t="s">
        <v>1139</v>
      </c>
    </row>
    <row r="36" spans="1:8" x14ac:dyDescent="0.25">
      <c r="H36" s="3" t="s">
        <v>1161</v>
      </c>
    </row>
    <row r="37" spans="1:8" x14ac:dyDescent="0.25">
      <c r="H37" s="3" t="s">
        <v>1163</v>
      </c>
    </row>
    <row r="38" spans="1:8" x14ac:dyDescent="0.25">
      <c r="H38" s="3" t="s">
        <v>1165</v>
      </c>
    </row>
    <row r="39" spans="1:8" x14ac:dyDescent="0.25">
      <c r="H39" s="3" t="s">
        <v>1168</v>
      </c>
    </row>
    <row r="40" spans="1:8" x14ac:dyDescent="0.25">
      <c r="H40" t="s">
        <v>1173</v>
      </c>
    </row>
    <row r="41" spans="1:8" x14ac:dyDescent="0.25">
      <c r="H41" s="3" t="s">
        <v>1177</v>
      </c>
    </row>
    <row r="42" spans="1:8" x14ac:dyDescent="0.25">
      <c r="H42" s="3" t="s">
        <v>1179</v>
      </c>
    </row>
    <row r="43" spans="1:8" x14ac:dyDescent="0.25">
      <c r="H43" s="24" t="s">
        <v>1036</v>
      </c>
    </row>
    <row r="44" spans="1:8" x14ac:dyDescent="0.25">
      <c r="H44" s="24" t="s">
        <v>1024</v>
      </c>
    </row>
    <row r="45" spans="1:8" x14ac:dyDescent="0.25">
      <c r="H45" s="24" t="s">
        <v>1026</v>
      </c>
    </row>
    <row r="46" spans="1:8" x14ac:dyDescent="0.25">
      <c r="H46" s="24" t="s">
        <v>324</v>
      </c>
    </row>
    <row r="47" spans="1:8" x14ac:dyDescent="0.25">
      <c r="H47" s="24" t="s">
        <v>970</v>
      </c>
    </row>
    <row r="48" spans="1:8" x14ac:dyDescent="0.25">
      <c r="H48" t="s">
        <v>285</v>
      </c>
    </row>
    <row r="49" spans="8:8" x14ac:dyDescent="0.25">
      <c r="H49" t="s">
        <v>973</v>
      </c>
    </row>
    <row r="50" spans="8:8" x14ac:dyDescent="0.25">
      <c r="H50" t="s">
        <v>528</v>
      </c>
    </row>
    <row r="51" spans="8:8" x14ac:dyDescent="0.25">
      <c r="H51" t="s">
        <v>529</v>
      </c>
    </row>
    <row r="52" spans="8:8" x14ac:dyDescent="0.25">
      <c r="H52" t="s">
        <v>648</v>
      </c>
    </row>
    <row r="53" spans="8:8" x14ac:dyDescent="0.25">
      <c r="H53" t="s">
        <v>1007</v>
      </c>
    </row>
    <row r="54" spans="8:8" x14ac:dyDescent="0.25">
      <c r="H54" t="s">
        <v>1029</v>
      </c>
    </row>
    <row r="55" spans="8:8" x14ac:dyDescent="0.25">
      <c r="H55" t="s">
        <v>1033</v>
      </c>
    </row>
    <row r="56" spans="8:8" x14ac:dyDescent="0.25">
      <c r="H56" t="s">
        <v>994</v>
      </c>
    </row>
    <row r="57" spans="8:8" x14ac:dyDescent="0.25">
      <c r="H57" t="s">
        <v>1039</v>
      </c>
    </row>
  </sheetData>
  <autoFilter ref="A1:G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zoomScale="85" zoomScaleNormal="85" workbookViewId="0">
      <pane ySplit="1" topLeftCell="A2" activePane="bottomLeft" state="frozen"/>
      <selection pane="bottomLeft" activeCell="C48" sqref="C48"/>
    </sheetView>
  </sheetViews>
  <sheetFormatPr defaultRowHeight="15" x14ac:dyDescent="0.25"/>
  <cols>
    <col min="1" max="1" width="16" bestFit="1" customWidth="1"/>
    <col min="2" max="2" width="44" bestFit="1" customWidth="1"/>
    <col min="3" max="3" width="110" bestFit="1" customWidth="1"/>
    <col min="4" max="4" width="32.42578125" bestFit="1" customWidth="1"/>
    <col min="5" max="5" width="12.7109375" bestFit="1" customWidth="1"/>
    <col min="6" max="6" width="6.28515625" bestFit="1" customWidth="1"/>
    <col min="7" max="7" width="12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s="3" customFormat="1" x14ac:dyDescent="0.25">
      <c r="A2" s="3" t="s">
        <v>1218</v>
      </c>
      <c r="B2" s="3" t="s">
        <v>1219</v>
      </c>
      <c r="C2" s="3" t="s">
        <v>1220</v>
      </c>
      <c r="D2" s="3" t="s">
        <v>891</v>
      </c>
      <c r="E2" s="3" t="s">
        <v>1270</v>
      </c>
      <c r="F2" s="3" t="s">
        <v>679</v>
      </c>
      <c r="G2" s="3" t="s">
        <v>311</v>
      </c>
    </row>
    <row r="3" spans="1:7" x14ac:dyDescent="0.25">
      <c r="A3" t="s">
        <v>897</v>
      </c>
      <c r="B3" t="s">
        <v>285</v>
      </c>
      <c r="C3" t="s">
        <v>246</v>
      </c>
      <c r="D3" t="s">
        <v>285</v>
      </c>
      <c r="E3" t="s">
        <v>17</v>
      </c>
      <c r="F3" t="s">
        <v>891</v>
      </c>
      <c r="G3" t="s">
        <v>891</v>
      </c>
    </row>
    <row r="4" spans="1:7" s="2" customFormat="1" x14ac:dyDescent="0.25">
      <c r="A4" s="2" t="s">
        <v>898</v>
      </c>
      <c r="B4" s="2" t="s">
        <v>563</v>
      </c>
      <c r="C4" s="2" t="s">
        <v>915</v>
      </c>
      <c r="D4" s="2" t="s">
        <v>891</v>
      </c>
      <c r="E4" s="2" t="s">
        <v>891</v>
      </c>
      <c r="F4" s="2" t="s">
        <v>891</v>
      </c>
      <c r="G4" s="2" t="s">
        <v>891</v>
      </c>
    </row>
    <row r="5" spans="1:7" s="2" customFormat="1" x14ac:dyDescent="0.25">
      <c r="A5" s="2" t="s">
        <v>899</v>
      </c>
      <c r="B5" s="2" t="s">
        <v>564</v>
      </c>
      <c r="C5" s="2" t="s">
        <v>915</v>
      </c>
      <c r="D5" s="2" t="s">
        <v>891</v>
      </c>
      <c r="E5" s="2" t="s">
        <v>891</v>
      </c>
      <c r="F5" s="2" t="s">
        <v>891</v>
      </c>
      <c r="G5" s="2" t="s">
        <v>891</v>
      </c>
    </row>
    <row r="6" spans="1:7" s="2" customFormat="1" x14ac:dyDescent="0.25">
      <c r="A6" s="2" t="s">
        <v>900</v>
      </c>
      <c r="B6" s="2" t="s">
        <v>426</v>
      </c>
      <c r="C6" s="2" t="s">
        <v>915</v>
      </c>
      <c r="D6" s="2" t="s">
        <v>891</v>
      </c>
      <c r="E6" s="2" t="s">
        <v>891</v>
      </c>
      <c r="F6" s="2" t="s">
        <v>891</v>
      </c>
      <c r="G6" s="2" t="s">
        <v>891</v>
      </c>
    </row>
    <row r="7" spans="1:7" s="2" customFormat="1" x14ac:dyDescent="0.25">
      <c r="A7" s="2" t="s">
        <v>901</v>
      </c>
      <c r="B7" s="2" t="s">
        <v>565</v>
      </c>
      <c r="C7" s="2" t="s">
        <v>915</v>
      </c>
      <c r="D7" s="2" t="s">
        <v>891</v>
      </c>
      <c r="E7" s="2" t="s">
        <v>891</v>
      </c>
      <c r="F7" s="2" t="s">
        <v>891</v>
      </c>
      <c r="G7" s="2" t="s">
        <v>891</v>
      </c>
    </row>
    <row r="8" spans="1:7" x14ac:dyDescent="0.25">
      <c r="A8" t="s">
        <v>1078</v>
      </c>
      <c r="B8" t="s">
        <v>1079</v>
      </c>
      <c r="C8" t="s">
        <v>1080</v>
      </c>
      <c r="D8" t="s">
        <v>891</v>
      </c>
      <c r="E8" t="s">
        <v>891</v>
      </c>
      <c r="F8" t="s">
        <v>891</v>
      </c>
      <c r="G8" t="s">
        <v>891</v>
      </c>
    </row>
    <row r="9" spans="1:7" s="3" customFormat="1" x14ac:dyDescent="0.25">
      <c r="A9" s="3" t="s">
        <v>1221</v>
      </c>
      <c r="B9" s="3" t="s">
        <v>1222</v>
      </c>
      <c r="C9" s="3" t="s">
        <v>1223</v>
      </c>
      <c r="D9" s="3" t="s">
        <v>891</v>
      </c>
      <c r="E9" s="3" t="s">
        <v>891</v>
      </c>
      <c r="F9" s="3" t="s">
        <v>891</v>
      </c>
      <c r="G9" s="3" t="s">
        <v>311</v>
      </c>
    </row>
    <row r="10" spans="1:7" x14ac:dyDescent="0.25">
      <c r="A10" t="s">
        <v>1224</v>
      </c>
      <c r="B10" t="s">
        <v>1225</v>
      </c>
      <c r="C10" t="s">
        <v>1223</v>
      </c>
      <c r="D10" t="s">
        <v>891</v>
      </c>
      <c r="E10" t="s">
        <v>891</v>
      </c>
      <c r="F10" t="s">
        <v>891</v>
      </c>
      <c r="G10" t="s">
        <v>891</v>
      </c>
    </row>
    <row r="11" spans="1:7" x14ac:dyDescent="0.25">
      <c r="A11" t="s">
        <v>906</v>
      </c>
      <c r="B11" t="s">
        <v>648</v>
      </c>
      <c r="C11" t="s">
        <v>918</v>
      </c>
      <c r="D11" t="s">
        <v>648</v>
      </c>
      <c r="E11" t="s">
        <v>647</v>
      </c>
      <c r="F11" t="s">
        <v>891</v>
      </c>
      <c r="G11" t="s">
        <v>891</v>
      </c>
    </row>
    <row r="12" spans="1:7" s="3" customFormat="1" x14ac:dyDescent="0.25">
      <c r="A12" s="3" t="s">
        <v>1087</v>
      </c>
      <c r="B12" s="3" t="s">
        <v>1088</v>
      </c>
      <c r="C12" s="3" t="s">
        <v>1080</v>
      </c>
      <c r="D12" s="3" t="s">
        <v>891</v>
      </c>
      <c r="E12" s="3" t="s">
        <v>891</v>
      </c>
      <c r="F12" s="3" t="s">
        <v>1271</v>
      </c>
      <c r="G12" s="3" t="s">
        <v>311</v>
      </c>
    </row>
    <row r="13" spans="1:7" s="3" customFormat="1" x14ac:dyDescent="0.25">
      <c r="A13" s="3" t="s">
        <v>1111</v>
      </c>
      <c r="B13" s="3" t="s">
        <v>1112</v>
      </c>
      <c r="C13" s="3" t="s">
        <v>1113</v>
      </c>
      <c r="D13" s="3" t="s">
        <v>891</v>
      </c>
      <c r="E13" s="3" t="s">
        <v>891</v>
      </c>
      <c r="F13" s="3" t="s">
        <v>1271</v>
      </c>
      <c r="G13" s="3" t="s">
        <v>311</v>
      </c>
    </row>
    <row r="14" spans="1:7" s="3" customFormat="1" x14ac:dyDescent="0.25">
      <c r="A14" s="3" t="s">
        <v>1114</v>
      </c>
      <c r="B14" s="3" t="s">
        <v>1115</v>
      </c>
      <c r="C14" s="3" t="s">
        <v>1113</v>
      </c>
      <c r="D14" s="3" t="s">
        <v>891</v>
      </c>
      <c r="E14" s="3" t="s">
        <v>891</v>
      </c>
      <c r="F14" s="3" t="s">
        <v>1271</v>
      </c>
      <c r="G14" s="3" t="s">
        <v>311</v>
      </c>
    </row>
    <row r="15" spans="1:7" s="3" customFormat="1" x14ac:dyDescent="0.25">
      <c r="A15" s="3" t="s">
        <v>1116</v>
      </c>
      <c r="B15" s="3" t="s">
        <v>1117</v>
      </c>
      <c r="C15" s="3" t="s">
        <v>1113</v>
      </c>
      <c r="D15" s="3" t="s">
        <v>891</v>
      </c>
      <c r="E15" s="3" t="s">
        <v>891</v>
      </c>
      <c r="F15" s="3" t="s">
        <v>1271</v>
      </c>
      <c r="G15" s="3" t="s">
        <v>311</v>
      </c>
    </row>
    <row r="16" spans="1:7" s="3" customFormat="1" x14ac:dyDescent="0.25">
      <c r="A16" s="3" t="s">
        <v>908</v>
      </c>
      <c r="B16" s="3" t="s">
        <v>324</v>
      </c>
      <c r="C16" s="3" t="s">
        <v>200</v>
      </c>
      <c r="D16" s="3" t="s">
        <v>891</v>
      </c>
      <c r="E16" s="3" t="s">
        <v>891</v>
      </c>
      <c r="F16" s="3" t="s">
        <v>1271</v>
      </c>
      <c r="G16" s="3" t="s">
        <v>311</v>
      </c>
    </row>
    <row r="17" spans="1:7" s="2" customFormat="1" x14ac:dyDescent="0.25">
      <c r="A17" s="2" t="s">
        <v>1198</v>
      </c>
      <c r="B17" s="2" t="s">
        <v>1226</v>
      </c>
      <c r="C17" s="2" t="s">
        <v>1197</v>
      </c>
      <c r="D17" s="2" t="s">
        <v>891</v>
      </c>
      <c r="E17" s="2" t="s">
        <v>891</v>
      </c>
      <c r="F17" s="2" t="s">
        <v>891</v>
      </c>
      <c r="G17" s="2" t="s">
        <v>891</v>
      </c>
    </row>
    <row r="18" spans="1:7" x14ac:dyDescent="0.25">
      <c r="A18" t="s">
        <v>909</v>
      </c>
      <c r="B18" t="s">
        <v>528</v>
      </c>
      <c r="C18" t="s">
        <v>920</v>
      </c>
      <c r="D18" t="s">
        <v>528</v>
      </c>
      <c r="E18" t="s">
        <v>509</v>
      </c>
      <c r="F18" t="s">
        <v>891</v>
      </c>
      <c r="G18" t="s">
        <v>891</v>
      </c>
    </row>
    <row r="19" spans="1:7" x14ac:dyDescent="0.25">
      <c r="A19" t="s">
        <v>910</v>
      </c>
      <c r="B19" t="s">
        <v>529</v>
      </c>
      <c r="C19" t="s">
        <v>920</v>
      </c>
      <c r="D19" t="s">
        <v>529</v>
      </c>
      <c r="E19" t="s">
        <v>510</v>
      </c>
      <c r="F19" t="s">
        <v>891</v>
      </c>
      <c r="G19" t="s">
        <v>891</v>
      </c>
    </row>
    <row r="20" spans="1:7" s="3" customFormat="1" x14ac:dyDescent="0.25">
      <c r="A20" s="3" t="s">
        <v>1148</v>
      </c>
      <c r="B20" s="3" t="s">
        <v>1147</v>
      </c>
      <c r="C20" s="3" t="s">
        <v>1138</v>
      </c>
      <c r="D20" s="3" t="s">
        <v>891</v>
      </c>
      <c r="E20" s="3" t="s">
        <v>891</v>
      </c>
      <c r="F20" s="3" t="s">
        <v>891</v>
      </c>
      <c r="G20" s="3" t="s">
        <v>891</v>
      </c>
    </row>
    <row r="21" spans="1:7" s="3" customFormat="1" x14ac:dyDescent="0.25">
      <c r="A21" s="3" t="s">
        <v>1146</v>
      </c>
      <c r="B21" s="3" t="s">
        <v>1169</v>
      </c>
      <c r="C21" s="3" t="s">
        <v>1138</v>
      </c>
      <c r="D21" s="3" t="s">
        <v>891</v>
      </c>
      <c r="E21" s="3" t="s">
        <v>891</v>
      </c>
      <c r="F21" s="3" t="s">
        <v>891</v>
      </c>
      <c r="G21" s="3" t="s">
        <v>891</v>
      </c>
    </row>
    <row r="22" spans="1:7" s="3" customFormat="1" x14ac:dyDescent="0.25">
      <c r="A22" s="3" t="s">
        <v>1144</v>
      </c>
      <c r="B22" s="3" t="s">
        <v>1170</v>
      </c>
      <c r="C22" s="3" t="s">
        <v>1138</v>
      </c>
      <c r="D22" s="3" t="s">
        <v>891</v>
      </c>
      <c r="E22" s="3" t="s">
        <v>891</v>
      </c>
      <c r="F22" s="3" t="s">
        <v>891</v>
      </c>
      <c r="G22" s="3" t="s">
        <v>891</v>
      </c>
    </row>
    <row r="23" spans="1:7" s="3" customFormat="1" x14ac:dyDescent="0.25">
      <c r="A23" s="3" t="s">
        <v>1142</v>
      </c>
      <c r="B23" s="3" t="s">
        <v>1171</v>
      </c>
      <c r="C23" s="3" t="s">
        <v>1138</v>
      </c>
      <c r="D23" s="3" t="s">
        <v>891</v>
      </c>
      <c r="E23" s="3" t="s">
        <v>891</v>
      </c>
      <c r="F23" s="3" t="s">
        <v>891</v>
      </c>
      <c r="G23" s="3" t="s">
        <v>891</v>
      </c>
    </row>
    <row r="24" spans="1:7" s="3" customFormat="1" x14ac:dyDescent="0.25">
      <c r="A24" s="3" t="s">
        <v>969</v>
      </c>
      <c r="B24" s="3" t="s">
        <v>970</v>
      </c>
      <c r="C24" s="3" t="s">
        <v>971</v>
      </c>
      <c r="D24" s="3" t="s">
        <v>891</v>
      </c>
      <c r="F24" s="3" t="s">
        <v>1273</v>
      </c>
      <c r="G24" s="3" t="s">
        <v>1272</v>
      </c>
    </row>
    <row r="25" spans="1:7" x14ac:dyDescent="0.25">
      <c r="A25" t="s">
        <v>972</v>
      </c>
      <c r="B25" t="s">
        <v>973</v>
      </c>
      <c r="C25" t="s">
        <v>974</v>
      </c>
      <c r="D25" t="s">
        <v>1121</v>
      </c>
      <c r="E25" t="s">
        <v>975</v>
      </c>
      <c r="F25" t="s">
        <v>891</v>
      </c>
      <c r="G25" t="s">
        <v>891</v>
      </c>
    </row>
    <row r="26" spans="1:7" s="3" customFormat="1" x14ac:dyDescent="0.25">
      <c r="A26" s="3" t="s">
        <v>976</v>
      </c>
      <c r="B26" s="3" t="s">
        <v>977</v>
      </c>
      <c r="C26" s="3" t="s">
        <v>951</v>
      </c>
      <c r="D26" s="3" t="s">
        <v>891</v>
      </c>
      <c r="E26" s="3" t="s">
        <v>891</v>
      </c>
      <c r="F26" s="3" t="s">
        <v>891</v>
      </c>
      <c r="G26" s="3" t="s">
        <v>891</v>
      </c>
    </row>
    <row r="27" spans="1:7" s="3" customFormat="1" x14ac:dyDescent="0.25">
      <c r="A27" s="3" t="s">
        <v>978</v>
      </c>
      <c r="B27" s="3" t="s">
        <v>979</v>
      </c>
      <c r="C27" s="3" t="s">
        <v>951</v>
      </c>
      <c r="D27" s="3" t="s">
        <v>891</v>
      </c>
      <c r="E27" s="3" t="s">
        <v>891</v>
      </c>
      <c r="F27" s="3" t="s">
        <v>891</v>
      </c>
      <c r="G27" s="3" t="s">
        <v>891</v>
      </c>
    </row>
    <row r="28" spans="1:7" s="3" customFormat="1" x14ac:dyDescent="0.25">
      <c r="A28" s="3" t="s">
        <v>980</v>
      </c>
      <c r="B28" s="3" t="s">
        <v>981</v>
      </c>
      <c r="C28" s="3" t="s">
        <v>982</v>
      </c>
      <c r="D28" s="3" t="s">
        <v>891</v>
      </c>
      <c r="E28" s="3" t="s">
        <v>891</v>
      </c>
      <c r="F28" s="3" t="s">
        <v>891</v>
      </c>
      <c r="G28" s="3" t="s">
        <v>891</v>
      </c>
    </row>
    <row r="29" spans="1:7" s="3" customFormat="1" x14ac:dyDescent="0.25">
      <c r="A29" s="3" t="s">
        <v>983</v>
      </c>
      <c r="B29" s="3" t="s">
        <v>984</v>
      </c>
      <c r="C29" s="3" t="s">
        <v>982</v>
      </c>
      <c r="D29" s="3" t="s">
        <v>891</v>
      </c>
      <c r="E29" s="3" t="s">
        <v>891</v>
      </c>
      <c r="F29" s="3" t="s">
        <v>891</v>
      </c>
      <c r="G29" s="3" t="s">
        <v>891</v>
      </c>
    </row>
    <row r="30" spans="1:7" s="3" customFormat="1" x14ac:dyDescent="0.25">
      <c r="A30" s="3" t="s">
        <v>1227</v>
      </c>
      <c r="B30" s="3" t="s">
        <v>1228</v>
      </c>
      <c r="C30" s="3" t="s">
        <v>1229</v>
      </c>
      <c r="D30" s="3" t="s">
        <v>891</v>
      </c>
      <c r="E30" s="3" t="s">
        <v>891</v>
      </c>
      <c r="F30" s="3" t="s">
        <v>1271</v>
      </c>
      <c r="G30" s="3" t="s">
        <v>311</v>
      </c>
    </row>
    <row r="31" spans="1:7" s="3" customFormat="1" x14ac:dyDescent="0.25">
      <c r="A31" s="3" t="s">
        <v>1230</v>
      </c>
      <c r="B31" s="3" t="s">
        <v>1231</v>
      </c>
      <c r="C31" s="3" t="s">
        <v>1183</v>
      </c>
      <c r="D31" s="3" t="s">
        <v>891</v>
      </c>
      <c r="E31" s="3" t="s">
        <v>891</v>
      </c>
      <c r="F31" s="3" t="s">
        <v>1271</v>
      </c>
      <c r="G31" s="3" t="s">
        <v>311</v>
      </c>
    </row>
    <row r="32" spans="1:7" s="3" customFormat="1" x14ac:dyDescent="0.25">
      <c r="A32" s="3" t="s">
        <v>1232</v>
      </c>
      <c r="B32" s="3" t="s">
        <v>1233</v>
      </c>
      <c r="C32" s="3" t="s">
        <v>1234</v>
      </c>
      <c r="D32" s="3" t="s">
        <v>891</v>
      </c>
      <c r="E32" s="3" t="s">
        <v>891</v>
      </c>
      <c r="F32" s="3" t="s">
        <v>1271</v>
      </c>
      <c r="G32" s="3" t="s">
        <v>311</v>
      </c>
    </row>
    <row r="33" spans="1:7" s="3" customFormat="1" x14ac:dyDescent="0.25">
      <c r="A33" s="3" t="s">
        <v>1235</v>
      </c>
      <c r="B33" s="3" t="s">
        <v>1236</v>
      </c>
      <c r="C33" s="3" t="s">
        <v>1234</v>
      </c>
      <c r="D33" s="3" t="s">
        <v>891</v>
      </c>
      <c r="E33" s="3" t="s">
        <v>891</v>
      </c>
      <c r="F33" s="3" t="s">
        <v>1271</v>
      </c>
      <c r="G33" s="3" t="s">
        <v>311</v>
      </c>
    </row>
    <row r="34" spans="1:7" s="3" customFormat="1" x14ac:dyDescent="0.25">
      <c r="A34" s="3" t="s">
        <v>1237</v>
      </c>
      <c r="B34" s="3" t="s">
        <v>1238</v>
      </c>
      <c r="C34" s="3" t="s">
        <v>1234</v>
      </c>
      <c r="D34" s="3" t="s">
        <v>891</v>
      </c>
      <c r="E34" s="3" t="s">
        <v>891</v>
      </c>
      <c r="F34" s="3" t="s">
        <v>1271</v>
      </c>
      <c r="G34" s="3" t="s">
        <v>311</v>
      </c>
    </row>
    <row r="35" spans="1:7" s="3" customFormat="1" x14ac:dyDescent="0.25">
      <c r="A35" s="3" t="s">
        <v>1172</v>
      </c>
      <c r="B35" s="3" t="s">
        <v>1173</v>
      </c>
      <c r="C35" s="3" t="s">
        <v>1166</v>
      </c>
      <c r="D35" s="3" t="s">
        <v>891</v>
      </c>
      <c r="E35" s="3" t="s">
        <v>891</v>
      </c>
      <c r="F35" s="3" t="s">
        <v>1271</v>
      </c>
      <c r="G35" s="3" t="s">
        <v>311</v>
      </c>
    </row>
    <row r="36" spans="1:7" x14ac:dyDescent="0.25">
      <c r="A36" t="s">
        <v>993</v>
      </c>
      <c r="B36" t="s">
        <v>994</v>
      </c>
      <c r="C36" t="s">
        <v>1239</v>
      </c>
      <c r="D36" t="s">
        <v>891</v>
      </c>
      <c r="E36" t="s">
        <v>891</v>
      </c>
      <c r="F36" t="s">
        <v>891</v>
      </c>
      <c r="G36" t="s">
        <v>891</v>
      </c>
    </row>
    <row r="37" spans="1:7" s="3" customFormat="1" x14ac:dyDescent="0.25">
      <c r="A37" s="3" t="s">
        <v>1093</v>
      </c>
      <c r="B37" s="3" t="s">
        <v>1094</v>
      </c>
      <c r="C37" s="3" t="s">
        <v>1080</v>
      </c>
      <c r="D37" s="3" t="s">
        <v>891</v>
      </c>
      <c r="E37" s="3" t="s">
        <v>891</v>
      </c>
      <c r="F37" s="3" t="s">
        <v>1271</v>
      </c>
      <c r="G37" s="3" t="s">
        <v>311</v>
      </c>
    </row>
    <row r="38" spans="1:7" s="3" customFormat="1" x14ac:dyDescent="0.25">
      <c r="A38" s="3" t="s">
        <v>1095</v>
      </c>
      <c r="B38" s="3" t="s">
        <v>1096</v>
      </c>
      <c r="C38" s="3" t="s">
        <v>1080</v>
      </c>
      <c r="D38" s="3" t="s">
        <v>891</v>
      </c>
      <c r="E38" s="3" t="s">
        <v>891</v>
      </c>
      <c r="F38" s="3" t="s">
        <v>1271</v>
      </c>
      <c r="G38" s="3" t="s">
        <v>311</v>
      </c>
    </row>
    <row r="39" spans="1:7" s="3" customFormat="1" x14ac:dyDescent="0.25">
      <c r="A39" s="3" t="s">
        <v>1097</v>
      </c>
      <c r="B39" s="3" t="s">
        <v>1098</v>
      </c>
      <c r="C39" s="3" t="s">
        <v>1080</v>
      </c>
      <c r="D39" s="3" t="s">
        <v>891</v>
      </c>
      <c r="E39" s="3" t="s">
        <v>891</v>
      </c>
      <c r="F39" s="3" t="s">
        <v>1271</v>
      </c>
      <c r="G39" s="3" t="s">
        <v>311</v>
      </c>
    </row>
    <row r="40" spans="1:7" s="3" customFormat="1" x14ac:dyDescent="0.25">
      <c r="A40" s="3" t="s">
        <v>1099</v>
      </c>
      <c r="B40" s="3" t="s">
        <v>1100</v>
      </c>
      <c r="C40" s="3" t="s">
        <v>1080</v>
      </c>
      <c r="D40" s="3" t="s">
        <v>891</v>
      </c>
      <c r="E40" s="3" t="s">
        <v>891</v>
      </c>
      <c r="F40" s="3" t="s">
        <v>1271</v>
      </c>
      <c r="G40" s="3" t="s">
        <v>311</v>
      </c>
    </row>
    <row r="41" spans="1:7" s="3" customFormat="1" x14ac:dyDescent="0.25">
      <c r="A41" s="3" t="s">
        <v>1101</v>
      </c>
      <c r="B41" s="3" t="s">
        <v>1102</v>
      </c>
      <c r="C41" s="3" t="s">
        <v>1080</v>
      </c>
      <c r="D41" s="3" t="s">
        <v>891</v>
      </c>
      <c r="E41" s="3" t="s">
        <v>891</v>
      </c>
      <c r="F41" s="3" t="s">
        <v>1271</v>
      </c>
      <c r="G41" s="3" t="s">
        <v>311</v>
      </c>
    </row>
    <row r="42" spans="1:7" x14ac:dyDescent="0.25">
      <c r="A42" t="s">
        <v>1006</v>
      </c>
      <c r="B42" t="s">
        <v>1007</v>
      </c>
      <c r="C42" t="s">
        <v>1008</v>
      </c>
      <c r="D42" t="s">
        <v>1123</v>
      </c>
      <c r="E42" t="s">
        <v>1009</v>
      </c>
      <c r="F42" t="s">
        <v>891</v>
      </c>
      <c r="G42" t="s">
        <v>891</v>
      </c>
    </row>
    <row r="43" spans="1:7" s="3" customFormat="1" x14ac:dyDescent="0.25">
      <c r="A43" s="3" t="s">
        <v>1240</v>
      </c>
      <c r="B43" s="3" t="s">
        <v>1241</v>
      </c>
      <c r="C43" s="3" t="s">
        <v>1242</v>
      </c>
      <c r="D43" s="3" t="s">
        <v>891</v>
      </c>
      <c r="E43" s="3" t="s">
        <v>891</v>
      </c>
      <c r="F43" s="3" t="s">
        <v>891</v>
      </c>
      <c r="G43" s="3" t="s">
        <v>891</v>
      </c>
    </row>
    <row r="44" spans="1:7" x14ac:dyDescent="0.25">
      <c r="A44" t="s">
        <v>1018</v>
      </c>
      <c r="B44" t="s">
        <v>1019</v>
      </c>
      <c r="C44" t="s">
        <v>960</v>
      </c>
      <c r="D44" t="s">
        <v>891</v>
      </c>
      <c r="E44" t="s">
        <v>891</v>
      </c>
      <c r="F44" t="s">
        <v>891</v>
      </c>
      <c r="G44" t="s">
        <v>891</v>
      </c>
    </row>
    <row r="45" spans="1:7" s="3" customFormat="1" x14ac:dyDescent="0.25">
      <c r="A45" s="3" t="s">
        <v>1243</v>
      </c>
      <c r="B45" s="3" t="s">
        <v>1244</v>
      </c>
      <c r="C45" s="3" t="s">
        <v>1242</v>
      </c>
      <c r="D45" s="3" t="s">
        <v>891</v>
      </c>
      <c r="E45" s="3" t="s">
        <v>891</v>
      </c>
      <c r="F45" s="3" t="s">
        <v>1271</v>
      </c>
      <c r="G45" s="3" t="s">
        <v>311</v>
      </c>
    </row>
    <row r="46" spans="1:7" s="3" customFormat="1" x14ac:dyDescent="0.25">
      <c r="A46" s="3" t="s">
        <v>1245</v>
      </c>
      <c r="B46" s="3" t="s">
        <v>1246</v>
      </c>
      <c r="C46" s="3" t="s">
        <v>1242</v>
      </c>
      <c r="D46" s="3" t="s">
        <v>891</v>
      </c>
      <c r="E46" s="3" t="s">
        <v>891</v>
      </c>
      <c r="F46" s="3" t="s">
        <v>1271</v>
      </c>
      <c r="G46" s="3" t="s">
        <v>311</v>
      </c>
    </row>
    <row r="47" spans="1:7" s="3" customFormat="1" x14ac:dyDescent="0.25">
      <c r="A47" s="3" t="s">
        <v>1247</v>
      </c>
      <c r="B47" s="3" t="s">
        <v>1248</v>
      </c>
      <c r="C47" s="3" t="s">
        <v>1242</v>
      </c>
      <c r="D47" s="3" t="s">
        <v>891</v>
      </c>
      <c r="E47" s="3" t="s">
        <v>891</v>
      </c>
      <c r="F47" s="3" t="s">
        <v>1271</v>
      </c>
      <c r="G47" s="3" t="s">
        <v>311</v>
      </c>
    </row>
    <row r="48" spans="1:7" s="3" customFormat="1" x14ac:dyDescent="0.25">
      <c r="A48" s="3" t="s">
        <v>1249</v>
      </c>
      <c r="B48" s="3" t="s">
        <v>1250</v>
      </c>
      <c r="C48" s="3" t="s">
        <v>1242</v>
      </c>
      <c r="D48" s="3" t="s">
        <v>891</v>
      </c>
      <c r="E48" s="3" t="s">
        <v>891</v>
      </c>
      <c r="F48" s="3" t="s">
        <v>1271</v>
      </c>
      <c r="G48" s="3" t="s">
        <v>311</v>
      </c>
    </row>
    <row r="49" spans="1:7" s="3" customFormat="1" x14ac:dyDescent="0.25">
      <c r="A49" s="3" t="s">
        <v>1251</v>
      </c>
      <c r="B49" s="3" t="s">
        <v>1252</v>
      </c>
      <c r="C49" s="3" t="s">
        <v>1242</v>
      </c>
      <c r="D49" s="3" t="s">
        <v>891</v>
      </c>
      <c r="E49" s="3" t="s">
        <v>891</v>
      </c>
      <c r="F49" s="3" t="s">
        <v>1271</v>
      </c>
      <c r="G49" s="3" t="s">
        <v>311</v>
      </c>
    </row>
    <row r="50" spans="1:7" s="3" customFormat="1" x14ac:dyDescent="0.25">
      <c r="A50" s="3" t="s">
        <v>1253</v>
      </c>
      <c r="B50" s="3" t="s">
        <v>1254</v>
      </c>
      <c r="C50" s="3" t="s">
        <v>1242</v>
      </c>
      <c r="D50" s="3" t="s">
        <v>891</v>
      </c>
      <c r="E50" s="3" t="s">
        <v>891</v>
      </c>
      <c r="F50" s="3" t="s">
        <v>1271</v>
      </c>
      <c r="G50" s="3" t="s">
        <v>311</v>
      </c>
    </row>
    <row r="51" spans="1:7" s="3" customFormat="1" x14ac:dyDescent="0.25">
      <c r="A51" s="3" t="s">
        <v>1255</v>
      </c>
      <c r="B51" s="3" t="s">
        <v>1256</v>
      </c>
      <c r="C51" s="3" t="s">
        <v>1242</v>
      </c>
      <c r="D51" s="3" t="s">
        <v>891</v>
      </c>
      <c r="E51" s="3" t="s">
        <v>891</v>
      </c>
      <c r="F51" s="3" t="s">
        <v>1271</v>
      </c>
      <c r="G51" s="3" t="s">
        <v>311</v>
      </c>
    </row>
    <row r="52" spans="1:7" s="3" customFormat="1" x14ac:dyDescent="0.25">
      <c r="A52" s="3" t="s">
        <v>1257</v>
      </c>
      <c r="B52" s="3" t="s">
        <v>1258</v>
      </c>
      <c r="C52" s="3" t="s">
        <v>1242</v>
      </c>
      <c r="D52" s="3" t="s">
        <v>891</v>
      </c>
      <c r="E52" s="3" t="s">
        <v>891</v>
      </c>
      <c r="F52" s="3" t="s">
        <v>1271</v>
      </c>
      <c r="G52" s="3" t="s">
        <v>311</v>
      </c>
    </row>
    <row r="53" spans="1:7" s="3" customFormat="1" x14ac:dyDescent="0.25">
      <c r="A53" s="3" t="s">
        <v>1259</v>
      </c>
      <c r="B53" s="3" t="s">
        <v>1260</v>
      </c>
      <c r="C53" s="3" t="s">
        <v>1194</v>
      </c>
      <c r="D53" s="3" t="s">
        <v>891</v>
      </c>
      <c r="E53" s="3" t="s">
        <v>891</v>
      </c>
      <c r="F53" s="3" t="s">
        <v>1271</v>
      </c>
      <c r="G53" s="3" t="s">
        <v>311</v>
      </c>
    </row>
    <row r="54" spans="1:7" s="3" customFormat="1" x14ac:dyDescent="0.25">
      <c r="A54" s="3" t="s">
        <v>1261</v>
      </c>
      <c r="B54" s="3" t="s">
        <v>1262</v>
      </c>
      <c r="C54" s="3" t="s">
        <v>1242</v>
      </c>
      <c r="D54" s="3" t="s">
        <v>891</v>
      </c>
      <c r="E54" s="3" t="s">
        <v>891</v>
      </c>
      <c r="F54" s="3" t="s">
        <v>1271</v>
      </c>
      <c r="G54" s="3" t="s">
        <v>311</v>
      </c>
    </row>
    <row r="55" spans="1:7" s="3" customFormat="1" x14ac:dyDescent="0.25">
      <c r="A55" s="3" t="s">
        <v>1263</v>
      </c>
      <c r="B55" s="3" t="s">
        <v>1264</v>
      </c>
      <c r="C55" s="3" t="s">
        <v>1220</v>
      </c>
      <c r="D55" s="3" t="s">
        <v>891</v>
      </c>
      <c r="E55" s="3" t="s">
        <v>891</v>
      </c>
      <c r="F55" s="3" t="s">
        <v>1271</v>
      </c>
      <c r="G55" s="3" t="s">
        <v>311</v>
      </c>
    </row>
    <row r="56" spans="1:7" s="3" customFormat="1" x14ac:dyDescent="0.25">
      <c r="A56" s="3" t="s">
        <v>1103</v>
      </c>
      <c r="B56" s="3" t="s">
        <v>1104</v>
      </c>
      <c r="C56" s="3" t="s">
        <v>1080</v>
      </c>
      <c r="D56" s="3" t="s">
        <v>891</v>
      </c>
      <c r="E56" s="3" t="s">
        <v>891</v>
      </c>
      <c r="F56" s="3" t="s">
        <v>1271</v>
      </c>
      <c r="G56" s="3" t="s">
        <v>311</v>
      </c>
    </row>
    <row r="57" spans="1:7" x14ac:dyDescent="0.25">
      <c r="A57" t="s">
        <v>1023</v>
      </c>
      <c r="B57" t="s">
        <v>1024</v>
      </c>
      <c r="C57" t="s">
        <v>203</v>
      </c>
      <c r="D57" t="s">
        <v>891</v>
      </c>
      <c r="E57" t="s">
        <v>891</v>
      </c>
      <c r="F57" t="s">
        <v>891</v>
      </c>
      <c r="G57" t="s">
        <v>891</v>
      </c>
    </row>
    <row r="58" spans="1:7" x14ac:dyDescent="0.25">
      <c r="A58" t="s">
        <v>1025</v>
      </c>
      <c r="B58" t="s">
        <v>1026</v>
      </c>
      <c r="C58" t="s">
        <v>1027</v>
      </c>
      <c r="D58" t="s">
        <v>891</v>
      </c>
      <c r="E58" t="s">
        <v>891</v>
      </c>
      <c r="F58" t="s">
        <v>891</v>
      </c>
      <c r="G58" t="s">
        <v>891</v>
      </c>
    </row>
    <row r="59" spans="1:7" x14ac:dyDescent="0.25">
      <c r="A59" t="s">
        <v>1028</v>
      </c>
      <c r="B59" t="s">
        <v>1029</v>
      </c>
      <c r="C59" t="s">
        <v>1131</v>
      </c>
      <c r="D59" t="s">
        <v>1029</v>
      </c>
      <c r="E59" t="s">
        <v>1031</v>
      </c>
      <c r="F59" t="s">
        <v>891</v>
      </c>
      <c r="G59" t="s">
        <v>891</v>
      </c>
    </row>
    <row r="60" spans="1:7" x14ac:dyDescent="0.25">
      <c r="A60" t="s">
        <v>1032</v>
      </c>
      <c r="B60" t="s">
        <v>1033</v>
      </c>
      <c r="C60" t="s">
        <v>1131</v>
      </c>
      <c r="D60" t="s">
        <v>1033</v>
      </c>
      <c r="E60" t="s">
        <v>1034</v>
      </c>
      <c r="F60" t="s">
        <v>891</v>
      </c>
      <c r="G60" t="s">
        <v>891</v>
      </c>
    </row>
    <row r="61" spans="1:7" x14ac:dyDescent="0.25">
      <c r="A61" t="s">
        <v>1265</v>
      </c>
      <c r="B61" t="s">
        <v>1266</v>
      </c>
      <c r="C61" t="s">
        <v>1197</v>
      </c>
      <c r="D61" t="s">
        <v>891</v>
      </c>
      <c r="E61" t="s">
        <v>891</v>
      </c>
      <c r="F61" t="s">
        <v>891</v>
      </c>
      <c r="G61" t="s">
        <v>891</v>
      </c>
    </row>
    <row r="62" spans="1:7" x14ac:dyDescent="0.25">
      <c r="A62" t="s">
        <v>1267</v>
      </c>
      <c r="B62" t="s">
        <v>1268</v>
      </c>
      <c r="C62" t="s">
        <v>1197</v>
      </c>
      <c r="D62" t="s">
        <v>891</v>
      </c>
      <c r="E62" t="s">
        <v>891</v>
      </c>
      <c r="F62" t="s">
        <v>891</v>
      </c>
      <c r="G62" t="s">
        <v>891</v>
      </c>
    </row>
    <row r="63" spans="1:7" x14ac:dyDescent="0.25">
      <c r="A63" t="s">
        <v>1035</v>
      </c>
      <c r="B63" t="s">
        <v>1036</v>
      </c>
      <c r="C63" t="s">
        <v>1037</v>
      </c>
      <c r="D63" t="s">
        <v>891</v>
      </c>
      <c r="E63" t="s">
        <v>891</v>
      </c>
      <c r="F63" t="s">
        <v>891</v>
      </c>
      <c r="G63" t="s">
        <v>891</v>
      </c>
    </row>
    <row r="64" spans="1:7" x14ac:dyDescent="0.25">
      <c r="A64" t="s">
        <v>1038</v>
      </c>
      <c r="B64" t="s">
        <v>1039</v>
      </c>
      <c r="C64" t="s">
        <v>1269</v>
      </c>
      <c r="D64" t="s">
        <v>1039</v>
      </c>
      <c r="E64" t="s">
        <v>1040</v>
      </c>
      <c r="F64" t="s">
        <v>891</v>
      </c>
      <c r="G64" t="s">
        <v>891</v>
      </c>
    </row>
    <row r="65" spans="1:7" s="3" customFormat="1" x14ac:dyDescent="0.25">
      <c r="A65" s="3" t="s">
        <v>1041</v>
      </c>
      <c r="B65" s="3" t="s">
        <v>1042</v>
      </c>
      <c r="C65" s="3" t="s">
        <v>1043</v>
      </c>
      <c r="D65" s="3" t="s">
        <v>891</v>
      </c>
      <c r="E65" s="3" t="s">
        <v>891</v>
      </c>
      <c r="F65" s="3" t="s">
        <v>1271</v>
      </c>
      <c r="G65" s="3" t="s">
        <v>311</v>
      </c>
    </row>
    <row r="66" spans="1:7" s="3" customFormat="1" x14ac:dyDescent="0.25">
      <c r="A66" s="3" t="s">
        <v>1048</v>
      </c>
      <c r="B66" s="3" t="s">
        <v>1049</v>
      </c>
      <c r="C66" s="3" t="s">
        <v>1043</v>
      </c>
      <c r="D66" s="3" t="s">
        <v>891</v>
      </c>
      <c r="E66" s="3" t="s">
        <v>891</v>
      </c>
      <c r="F66" s="3" t="s">
        <v>1271</v>
      </c>
      <c r="G66" s="3" t="s">
        <v>311</v>
      </c>
    </row>
    <row r="67" spans="1:7" s="3" customFormat="1" x14ac:dyDescent="0.25">
      <c r="A67" s="3" t="s">
        <v>1054</v>
      </c>
      <c r="B67" s="3" t="s">
        <v>1055</v>
      </c>
      <c r="C67" s="3" t="s">
        <v>982</v>
      </c>
      <c r="D67" s="3" t="s">
        <v>891</v>
      </c>
      <c r="E67" s="3" t="s">
        <v>891</v>
      </c>
      <c r="F67" s="3" t="s">
        <v>1271</v>
      </c>
      <c r="G67" s="3" t="s">
        <v>311</v>
      </c>
    </row>
    <row r="68" spans="1:7" s="3" customFormat="1" x14ac:dyDescent="0.25">
      <c r="A68" s="3" t="s">
        <v>1060</v>
      </c>
      <c r="B68" s="3" t="s">
        <v>1061</v>
      </c>
      <c r="C68" s="3" t="s">
        <v>982</v>
      </c>
      <c r="D68" s="3" t="s">
        <v>891</v>
      </c>
      <c r="E68" s="3" t="s">
        <v>891</v>
      </c>
      <c r="F68" s="3" t="s">
        <v>1271</v>
      </c>
      <c r="G68" s="3" t="s">
        <v>311</v>
      </c>
    </row>
    <row r="69" spans="1:7" s="3" customFormat="1" x14ac:dyDescent="0.25">
      <c r="A69" s="3" t="s">
        <v>1106</v>
      </c>
      <c r="B69" s="3" t="s">
        <v>1107</v>
      </c>
      <c r="C69" s="3" t="s">
        <v>1080</v>
      </c>
      <c r="D69" s="3" t="s">
        <v>891</v>
      </c>
      <c r="E69" s="3" t="s">
        <v>891</v>
      </c>
      <c r="F69" s="3" t="s">
        <v>1271</v>
      </c>
      <c r="G69" s="3" t="s">
        <v>311</v>
      </c>
    </row>
    <row r="70" spans="1:7" s="3" customFormat="1" x14ac:dyDescent="0.25">
      <c r="A70" s="3" t="s">
        <v>1108</v>
      </c>
      <c r="B70" s="3" t="s">
        <v>1109</v>
      </c>
      <c r="C70" s="3" t="s">
        <v>1080</v>
      </c>
      <c r="D70" s="3" t="s">
        <v>891</v>
      </c>
      <c r="E70" s="3" t="s">
        <v>891</v>
      </c>
      <c r="F70" s="3" t="s">
        <v>1271</v>
      </c>
      <c r="G70" s="3" t="s">
        <v>311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85" zoomScaleNormal="85" workbookViewId="0">
      <selection activeCell="C25" sqref="C25"/>
    </sheetView>
  </sheetViews>
  <sheetFormatPr defaultRowHeight="15" x14ac:dyDescent="0.25"/>
  <cols>
    <col min="1" max="1" width="16" bestFit="1" customWidth="1"/>
    <col min="2" max="2" width="36.140625" bestFit="1" customWidth="1"/>
    <col min="3" max="3" width="110" bestFit="1" customWidth="1"/>
    <col min="4" max="4" width="36.140625" bestFit="1" customWidth="1"/>
    <col min="5" max="5" width="12.7109375" bestFit="1" customWidth="1"/>
    <col min="6" max="6" width="6.28515625" bestFit="1" customWidth="1"/>
    <col min="7" max="7" width="12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s="3" customFormat="1" x14ac:dyDescent="0.25">
      <c r="A2" s="3" t="s">
        <v>1221</v>
      </c>
      <c r="B2" s="3" t="s">
        <v>1222</v>
      </c>
      <c r="C2" s="3" t="s">
        <v>1223</v>
      </c>
      <c r="D2" s="3" t="s">
        <v>891</v>
      </c>
      <c r="E2" s="3" t="s">
        <v>891</v>
      </c>
      <c r="F2" s="3" t="s">
        <v>891</v>
      </c>
      <c r="G2" s="3" t="s">
        <v>891</v>
      </c>
    </row>
    <row r="3" spans="1:7" x14ac:dyDescent="0.25">
      <c r="A3" t="s">
        <v>1224</v>
      </c>
      <c r="B3" t="s">
        <v>1225</v>
      </c>
      <c r="C3" t="s">
        <v>1223</v>
      </c>
      <c r="D3" t="s">
        <v>891</v>
      </c>
      <c r="E3" t="s">
        <v>891</v>
      </c>
      <c r="F3" t="s">
        <v>891</v>
      </c>
      <c r="G3" t="s">
        <v>891</v>
      </c>
    </row>
    <row r="4" spans="1:7" s="3" customFormat="1" x14ac:dyDescent="0.25">
      <c r="A4" s="3" t="s">
        <v>1283</v>
      </c>
      <c r="B4" s="3" t="s">
        <v>1284</v>
      </c>
      <c r="C4" s="3" t="s">
        <v>1285</v>
      </c>
      <c r="D4" s="3" t="s">
        <v>1284</v>
      </c>
      <c r="E4" s="3" t="s">
        <v>1286</v>
      </c>
      <c r="F4" s="3" t="s">
        <v>1302</v>
      </c>
      <c r="G4" s="3" t="s">
        <v>1303</v>
      </c>
    </row>
    <row r="5" spans="1:7" x14ac:dyDescent="0.25">
      <c r="A5" t="s">
        <v>906</v>
      </c>
      <c r="B5" t="s">
        <v>648</v>
      </c>
      <c r="C5" t="s">
        <v>918</v>
      </c>
      <c r="D5" t="s">
        <v>648</v>
      </c>
      <c r="E5" t="s">
        <v>647</v>
      </c>
      <c r="F5" t="s">
        <v>891</v>
      </c>
      <c r="G5" t="s">
        <v>891</v>
      </c>
    </row>
    <row r="6" spans="1:7" s="3" customFormat="1" x14ac:dyDescent="0.25">
      <c r="A6" s="3" t="s">
        <v>1287</v>
      </c>
      <c r="B6" s="3" t="s">
        <v>1288</v>
      </c>
      <c r="C6" s="3" t="s">
        <v>1289</v>
      </c>
      <c r="D6" s="3" t="s">
        <v>891</v>
      </c>
      <c r="E6" s="3" t="s">
        <v>891</v>
      </c>
      <c r="F6" s="3" t="s">
        <v>596</v>
      </c>
      <c r="G6" s="3" t="s">
        <v>311</v>
      </c>
    </row>
    <row r="7" spans="1:7" x14ac:dyDescent="0.25">
      <c r="A7" t="s">
        <v>909</v>
      </c>
      <c r="B7" t="s">
        <v>528</v>
      </c>
      <c r="C7" t="s">
        <v>920</v>
      </c>
      <c r="D7" t="s">
        <v>528</v>
      </c>
      <c r="E7" t="s">
        <v>509</v>
      </c>
      <c r="F7" t="s">
        <v>891</v>
      </c>
      <c r="G7" t="s">
        <v>891</v>
      </c>
    </row>
    <row r="8" spans="1:7" x14ac:dyDescent="0.25">
      <c r="A8" t="s">
        <v>910</v>
      </c>
      <c r="B8" t="s">
        <v>529</v>
      </c>
      <c r="C8" t="s">
        <v>920</v>
      </c>
      <c r="D8" t="s">
        <v>529</v>
      </c>
      <c r="E8" t="s">
        <v>510</v>
      </c>
      <c r="F8" t="s">
        <v>891</v>
      </c>
      <c r="G8" t="s">
        <v>891</v>
      </c>
    </row>
    <row r="9" spans="1:7" s="3" customFormat="1" x14ac:dyDescent="0.25">
      <c r="A9" s="3" t="s">
        <v>1290</v>
      </c>
      <c r="B9" s="3" t="s">
        <v>1291</v>
      </c>
      <c r="C9" s="3" t="s">
        <v>1292</v>
      </c>
      <c r="D9" s="3" t="s">
        <v>891</v>
      </c>
      <c r="E9" s="3" t="s">
        <v>891</v>
      </c>
      <c r="F9" s="3" t="s">
        <v>1304</v>
      </c>
      <c r="G9" s="3" t="s">
        <v>311</v>
      </c>
    </row>
    <row r="10" spans="1:7" x14ac:dyDescent="0.25">
      <c r="A10" t="s">
        <v>897</v>
      </c>
      <c r="B10" t="s">
        <v>285</v>
      </c>
      <c r="C10" t="s">
        <v>246</v>
      </c>
      <c r="D10" t="s">
        <v>285</v>
      </c>
      <c r="E10" t="s">
        <v>17</v>
      </c>
      <c r="F10" t="s">
        <v>891</v>
      </c>
      <c r="G10" t="s">
        <v>891</v>
      </c>
    </row>
    <row r="11" spans="1:7" s="3" customFormat="1" x14ac:dyDescent="0.25">
      <c r="A11" s="3" t="s">
        <v>969</v>
      </c>
      <c r="B11" s="3" t="s">
        <v>970</v>
      </c>
      <c r="C11" s="3" t="s">
        <v>971</v>
      </c>
      <c r="D11" s="3" t="s">
        <v>891</v>
      </c>
      <c r="E11" s="3" t="s">
        <v>891</v>
      </c>
      <c r="F11" s="3" t="s">
        <v>891</v>
      </c>
      <c r="G11" s="3" t="s">
        <v>311</v>
      </c>
    </row>
    <row r="12" spans="1:7" x14ac:dyDescent="0.25">
      <c r="A12" t="s">
        <v>972</v>
      </c>
      <c r="B12" t="s">
        <v>973</v>
      </c>
      <c r="C12" t="s">
        <v>974</v>
      </c>
      <c r="D12" t="s">
        <v>1121</v>
      </c>
      <c r="E12" t="s">
        <v>975</v>
      </c>
      <c r="F12" t="s">
        <v>891</v>
      </c>
      <c r="G12" t="s">
        <v>891</v>
      </c>
    </row>
    <row r="13" spans="1:7" s="3" customFormat="1" x14ac:dyDescent="0.25">
      <c r="A13" s="3" t="s">
        <v>1293</v>
      </c>
      <c r="B13" s="3" t="s">
        <v>1294</v>
      </c>
      <c r="C13" s="3" t="s">
        <v>1295</v>
      </c>
      <c r="D13" s="3" t="s">
        <v>891</v>
      </c>
      <c r="E13" s="3" t="s">
        <v>891</v>
      </c>
      <c r="F13" s="3" t="s">
        <v>679</v>
      </c>
      <c r="G13" s="3" t="s">
        <v>311</v>
      </c>
    </row>
    <row r="14" spans="1:7" s="3" customFormat="1" x14ac:dyDescent="0.25">
      <c r="A14" s="3" t="s">
        <v>1296</v>
      </c>
      <c r="B14" s="3" t="s">
        <v>1297</v>
      </c>
      <c r="C14" s="3" t="s">
        <v>1295</v>
      </c>
      <c r="D14" s="3" t="s">
        <v>891</v>
      </c>
      <c r="E14" s="3" t="s">
        <v>891</v>
      </c>
      <c r="F14" s="3" t="s">
        <v>679</v>
      </c>
      <c r="G14" s="3" t="s">
        <v>311</v>
      </c>
    </row>
    <row r="15" spans="1:7" x14ac:dyDescent="0.25">
      <c r="A15" t="s">
        <v>993</v>
      </c>
      <c r="B15" t="s">
        <v>994</v>
      </c>
      <c r="C15" t="s">
        <v>1298</v>
      </c>
      <c r="D15" t="s">
        <v>891</v>
      </c>
      <c r="E15" t="s">
        <v>891</v>
      </c>
      <c r="F15" t="s">
        <v>891</v>
      </c>
      <c r="G15" t="s">
        <v>891</v>
      </c>
    </row>
    <row r="16" spans="1:7" x14ac:dyDescent="0.25">
      <c r="A16" t="s">
        <v>1006</v>
      </c>
      <c r="B16" t="s">
        <v>1007</v>
      </c>
      <c r="C16" t="s">
        <v>1008</v>
      </c>
      <c r="D16" t="s">
        <v>1123</v>
      </c>
      <c r="E16" t="s">
        <v>1009</v>
      </c>
      <c r="F16" t="s">
        <v>891</v>
      </c>
      <c r="G16" t="s">
        <v>891</v>
      </c>
    </row>
    <row r="17" spans="1:7" x14ac:dyDescent="0.25">
      <c r="A17" t="s">
        <v>1018</v>
      </c>
      <c r="B17" t="s">
        <v>1019</v>
      </c>
      <c r="C17" t="s">
        <v>960</v>
      </c>
      <c r="D17" t="s">
        <v>891</v>
      </c>
      <c r="E17" t="s">
        <v>891</v>
      </c>
      <c r="F17" t="s">
        <v>891</v>
      </c>
      <c r="G17" t="s">
        <v>891</v>
      </c>
    </row>
    <row r="18" spans="1:7" s="3" customFormat="1" x14ac:dyDescent="0.25">
      <c r="A18" s="3" t="s">
        <v>1299</v>
      </c>
      <c r="B18" s="3" t="s">
        <v>1300</v>
      </c>
      <c r="C18" s="3" t="s">
        <v>1295</v>
      </c>
      <c r="D18" s="3" t="s">
        <v>891</v>
      </c>
      <c r="E18" s="3" t="s">
        <v>891</v>
      </c>
      <c r="F18" s="3" t="s">
        <v>85</v>
      </c>
      <c r="G18" s="3" t="s">
        <v>311</v>
      </c>
    </row>
    <row r="19" spans="1:7" s="3" customFormat="1" x14ac:dyDescent="0.25">
      <c r="A19" s="3" t="s">
        <v>1255</v>
      </c>
      <c r="B19" s="3" t="s">
        <v>1256</v>
      </c>
      <c r="C19" s="3" t="s">
        <v>1242</v>
      </c>
      <c r="D19" s="3" t="s">
        <v>891</v>
      </c>
      <c r="E19" s="3" t="s">
        <v>891</v>
      </c>
      <c r="F19" s="3" t="s">
        <v>85</v>
      </c>
      <c r="G19" s="3" t="s">
        <v>311</v>
      </c>
    </row>
    <row r="20" spans="1:7" s="3" customFormat="1" x14ac:dyDescent="0.25">
      <c r="A20" s="3" t="s">
        <v>1261</v>
      </c>
      <c r="B20" s="3" t="s">
        <v>1262</v>
      </c>
      <c r="C20" s="3" t="s">
        <v>1242</v>
      </c>
      <c r="D20" s="3" t="s">
        <v>891</v>
      </c>
      <c r="E20" s="3" t="s">
        <v>891</v>
      </c>
      <c r="F20" s="3" t="s">
        <v>85</v>
      </c>
      <c r="G20" s="3" t="s">
        <v>311</v>
      </c>
    </row>
    <row r="21" spans="1:7" x14ac:dyDescent="0.25">
      <c r="A21" t="s">
        <v>1028</v>
      </c>
      <c r="B21" t="s">
        <v>1029</v>
      </c>
      <c r="C21" t="s">
        <v>1131</v>
      </c>
      <c r="D21" t="s">
        <v>1029</v>
      </c>
      <c r="E21" t="s">
        <v>1031</v>
      </c>
      <c r="F21" t="s">
        <v>891</v>
      </c>
      <c r="G21" t="s">
        <v>891</v>
      </c>
    </row>
    <row r="22" spans="1:7" x14ac:dyDescent="0.25">
      <c r="A22" t="s">
        <v>1032</v>
      </c>
      <c r="B22" t="s">
        <v>1033</v>
      </c>
      <c r="C22" t="s">
        <v>1131</v>
      </c>
      <c r="D22" t="s">
        <v>1033</v>
      </c>
      <c r="E22" t="s">
        <v>1034</v>
      </c>
      <c r="F22" t="s">
        <v>891</v>
      </c>
      <c r="G22" t="s">
        <v>891</v>
      </c>
    </row>
    <row r="23" spans="1:7" s="3" customFormat="1" x14ac:dyDescent="0.25">
      <c r="A23" s="3" t="s">
        <v>1265</v>
      </c>
      <c r="B23" s="3" t="s">
        <v>1266</v>
      </c>
      <c r="C23" s="3" t="s">
        <v>1197</v>
      </c>
      <c r="D23" s="3" t="s">
        <v>891</v>
      </c>
      <c r="E23" s="3" t="s">
        <v>891</v>
      </c>
      <c r="F23" s="3" t="s">
        <v>891</v>
      </c>
      <c r="G23" s="3" t="s">
        <v>891</v>
      </c>
    </row>
    <row r="24" spans="1:7" s="3" customFormat="1" x14ac:dyDescent="0.25">
      <c r="A24" s="3" t="s">
        <v>1267</v>
      </c>
      <c r="B24" s="3" t="s">
        <v>1268</v>
      </c>
      <c r="C24" s="3" t="s">
        <v>1197</v>
      </c>
      <c r="D24" s="3" t="s">
        <v>891</v>
      </c>
      <c r="E24" s="3" t="s">
        <v>891</v>
      </c>
      <c r="F24" s="3" t="s">
        <v>891</v>
      </c>
      <c r="G24" s="3" t="s">
        <v>891</v>
      </c>
    </row>
    <row r="25" spans="1:7" x14ac:dyDescent="0.25">
      <c r="A25" t="s">
        <v>1038</v>
      </c>
      <c r="B25" t="s">
        <v>1039</v>
      </c>
      <c r="C25" t="s">
        <v>1301</v>
      </c>
      <c r="D25" t="s">
        <v>1039</v>
      </c>
      <c r="E25" t="s">
        <v>1040</v>
      </c>
      <c r="F25" t="s">
        <v>891</v>
      </c>
      <c r="G25" t="s">
        <v>891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85" zoomScaleNormal="85" workbookViewId="0">
      <selection activeCell="C40" sqref="C40"/>
    </sheetView>
  </sheetViews>
  <sheetFormatPr defaultRowHeight="15" x14ac:dyDescent="0.25"/>
  <cols>
    <col min="1" max="1" width="16" bestFit="1" customWidth="1"/>
    <col min="2" max="2" width="32.42578125" bestFit="1" customWidth="1"/>
    <col min="3" max="3" width="110" bestFit="1" customWidth="1"/>
    <col min="4" max="4" width="32.42578125" bestFit="1" customWidth="1"/>
    <col min="5" max="5" width="12.7109375" bestFit="1" customWidth="1"/>
    <col min="6" max="6" width="6.28515625" bestFit="1" customWidth="1"/>
    <col min="7" max="7" width="12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s="3" customFormat="1" x14ac:dyDescent="0.25">
      <c r="A2" s="3" t="s">
        <v>1221</v>
      </c>
      <c r="B2" s="3" t="s">
        <v>1222</v>
      </c>
      <c r="C2" s="3" t="s">
        <v>1223</v>
      </c>
      <c r="D2" s="3" t="s">
        <v>891</v>
      </c>
      <c r="E2" s="3" t="s">
        <v>891</v>
      </c>
      <c r="F2" s="3" t="s">
        <v>891</v>
      </c>
      <c r="G2" s="3" t="s">
        <v>311</v>
      </c>
    </row>
    <row r="3" spans="1:7" s="3" customFormat="1" x14ac:dyDescent="0.25">
      <c r="A3" s="3" t="s">
        <v>1224</v>
      </c>
      <c r="B3" s="3" t="s">
        <v>1225</v>
      </c>
      <c r="C3" s="3" t="s">
        <v>1223</v>
      </c>
      <c r="D3" s="3" t="s">
        <v>891</v>
      </c>
      <c r="E3" s="3" t="s">
        <v>891</v>
      </c>
      <c r="F3" s="3" t="s">
        <v>891</v>
      </c>
      <c r="G3" s="3" t="s">
        <v>311</v>
      </c>
    </row>
    <row r="4" spans="1:7" s="3" customFormat="1" x14ac:dyDescent="0.25">
      <c r="A4" s="3" t="s">
        <v>1305</v>
      </c>
      <c r="B4" s="3" t="s">
        <v>1306</v>
      </c>
      <c r="C4" s="3" t="s">
        <v>1307</v>
      </c>
      <c r="D4" s="3" t="s">
        <v>891</v>
      </c>
      <c r="E4" s="3" t="s">
        <v>891</v>
      </c>
      <c r="F4" s="3" t="s">
        <v>85</v>
      </c>
      <c r="G4" s="3" t="s">
        <v>311</v>
      </c>
    </row>
    <row r="5" spans="1:7" s="3" customFormat="1" x14ac:dyDescent="0.25">
      <c r="A5" s="3" t="s">
        <v>1308</v>
      </c>
      <c r="B5" s="3" t="s">
        <v>1309</v>
      </c>
      <c r="C5" s="3" t="s">
        <v>1310</v>
      </c>
      <c r="D5" s="3" t="s">
        <v>1309</v>
      </c>
      <c r="E5" s="3" t="s">
        <v>1342</v>
      </c>
      <c r="F5" s="3" t="s">
        <v>679</v>
      </c>
      <c r="G5" s="3" t="s">
        <v>311</v>
      </c>
    </row>
    <row r="6" spans="1:7" s="3" customFormat="1" x14ac:dyDescent="0.25">
      <c r="A6" s="3" t="s">
        <v>1311</v>
      </c>
      <c r="B6" s="3" t="s">
        <v>1312</v>
      </c>
      <c r="C6" s="3" t="s">
        <v>1313</v>
      </c>
      <c r="D6" s="3" t="s">
        <v>891</v>
      </c>
      <c r="E6" s="3" t="s">
        <v>891</v>
      </c>
      <c r="F6" s="3" t="s">
        <v>596</v>
      </c>
      <c r="G6" s="3" t="s">
        <v>311</v>
      </c>
    </row>
    <row r="7" spans="1:7" s="3" customFormat="1" x14ac:dyDescent="0.25">
      <c r="A7" s="3" t="s">
        <v>1314</v>
      </c>
      <c r="B7" s="3" t="s">
        <v>1315</v>
      </c>
      <c r="C7" s="3" t="s">
        <v>1316</v>
      </c>
      <c r="D7" s="3" t="s">
        <v>891</v>
      </c>
      <c r="E7" s="3" t="s">
        <v>891</v>
      </c>
      <c r="F7" s="3" t="s">
        <v>85</v>
      </c>
      <c r="G7" s="3" t="s">
        <v>311</v>
      </c>
    </row>
    <row r="8" spans="1:7" s="3" customFormat="1" x14ac:dyDescent="0.25">
      <c r="A8" s="3" t="s">
        <v>1317</v>
      </c>
      <c r="B8" s="3" t="s">
        <v>1318</v>
      </c>
      <c r="C8" s="3" t="s">
        <v>1316</v>
      </c>
      <c r="D8" s="3" t="s">
        <v>891</v>
      </c>
      <c r="E8" s="3" t="s">
        <v>891</v>
      </c>
      <c r="F8" s="3" t="s">
        <v>85</v>
      </c>
      <c r="G8" s="3" t="s">
        <v>311</v>
      </c>
    </row>
    <row r="9" spans="1:7" x14ac:dyDescent="0.25">
      <c r="A9" t="s">
        <v>909</v>
      </c>
      <c r="B9" t="s">
        <v>528</v>
      </c>
      <c r="C9" t="s">
        <v>920</v>
      </c>
      <c r="D9" t="s">
        <v>528</v>
      </c>
      <c r="E9" t="s">
        <v>509</v>
      </c>
      <c r="F9" t="s">
        <v>891</v>
      </c>
      <c r="G9" t="s">
        <v>891</v>
      </c>
    </row>
    <row r="10" spans="1:7" x14ac:dyDescent="0.25">
      <c r="A10" t="s">
        <v>910</v>
      </c>
      <c r="B10" t="s">
        <v>529</v>
      </c>
      <c r="C10" t="s">
        <v>920</v>
      </c>
      <c r="D10" t="s">
        <v>529</v>
      </c>
      <c r="E10" t="s">
        <v>510</v>
      </c>
      <c r="F10" t="s">
        <v>891</v>
      </c>
      <c r="G10" t="s">
        <v>891</v>
      </c>
    </row>
    <row r="11" spans="1:7" s="3" customFormat="1" x14ac:dyDescent="0.25">
      <c r="A11" s="3" t="s">
        <v>1319</v>
      </c>
      <c r="C11" s="3" t="s">
        <v>1320</v>
      </c>
      <c r="D11" s="3" t="s">
        <v>891</v>
      </c>
      <c r="E11" s="3" t="s">
        <v>891</v>
      </c>
      <c r="F11" s="3" t="s">
        <v>85</v>
      </c>
      <c r="G11" s="3" t="s">
        <v>311</v>
      </c>
    </row>
    <row r="12" spans="1:7" s="3" customFormat="1" x14ac:dyDescent="0.25">
      <c r="A12" s="3" t="s">
        <v>1321</v>
      </c>
      <c r="B12" s="3" t="s">
        <v>1322</v>
      </c>
      <c r="C12" s="3" t="s">
        <v>1323</v>
      </c>
      <c r="D12" s="3" t="s">
        <v>1322</v>
      </c>
      <c r="E12" s="3" t="s">
        <v>1343</v>
      </c>
      <c r="F12" s="3" t="s">
        <v>679</v>
      </c>
      <c r="G12" s="3" t="s">
        <v>311</v>
      </c>
    </row>
    <row r="13" spans="1:7" x14ac:dyDescent="0.25">
      <c r="A13" t="s">
        <v>897</v>
      </c>
      <c r="B13" t="s">
        <v>285</v>
      </c>
      <c r="C13" t="s">
        <v>246</v>
      </c>
      <c r="D13" t="s">
        <v>285</v>
      </c>
      <c r="E13" t="s">
        <v>17</v>
      </c>
      <c r="F13" t="s">
        <v>891</v>
      </c>
      <c r="G13" t="s">
        <v>891</v>
      </c>
    </row>
    <row r="14" spans="1:7" s="3" customFormat="1" x14ac:dyDescent="0.25">
      <c r="A14" s="3" t="s">
        <v>1324</v>
      </c>
      <c r="B14" s="3" t="s">
        <v>1325</v>
      </c>
      <c r="C14" s="3" t="s">
        <v>1316</v>
      </c>
      <c r="D14" s="3" t="s">
        <v>891</v>
      </c>
      <c r="E14" s="3" t="s">
        <v>891</v>
      </c>
      <c r="F14" s="3" t="s">
        <v>679</v>
      </c>
      <c r="G14" s="3" t="s">
        <v>311</v>
      </c>
    </row>
    <row r="15" spans="1:7" s="3" customFormat="1" x14ac:dyDescent="0.25">
      <c r="A15" s="3" t="s">
        <v>1326</v>
      </c>
      <c r="B15" s="3" t="s">
        <v>1327</v>
      </c>
      <c r="C15" s="3" t="s">
        <v>1328</v>
      </c>
      <c r="D15" s="3" t="s">
        <v>1327</v>
      </c>
      <c r="E15" s="3" t="s">
        <v>1344</v>
      </c>
      <c r="F15" s="3" t="s">
        <v>679</v>
      </c>
      <c r="G15" s="3" t="s">
        <v>311</v>
      </c>
    </row>
    <row r="16" spans="1:7" s="3" customFormat="1" x14ac:dyDescent="0.25">
      <c r="A16" s="3" t="s">
        <v>1329</v>
      </c>
      <c r="B16" s="3" t="s">
        <v>1330</v>
      </c>
      <c r="C16" s="3" t="s">
        <v>1316</v>
      </c>
      <c r="D16" s="3" t="s">
        <v>891</v>
      </c>
      <c r="E16" s="3" t="s">
        <v>891</v>
      </c>
      <c r="F16" s="3" t="s">
        <v>679</v>
      </c>
      <c r="G16" s="3" t="s">
        <v>311</v>
      </c>
    </row>
    <row r="17" spans="1:7" s="3" customFormat="1" x14ac:dyDescent="0.25">
      <c r="A17" s="3" t="s">
        <v>1331</v>
      </c>
      <c r="B17" s="3" t="s">
        <v>1332</v>
      </c>
      <c r="C17" s="3" t="s">
        <v>1333</v>
      </c>
      <c r="D17" s="3" t="s">
        <v>1332</v>
      </c>
      <c r="E17" s="3" t="s">
        <v>1345</v>
      </c>
      <c r="F17" s="3" t="s">
        <v>679</v>
      </c>
      <c r="G17" s="3" t="s">
        <v>311</v>
      </c>
    </row>
    <row r="18" spans="1:7" s="3" customFormat="1" x14ac:dyDescent="0.25">
      <c r="A18" s="3" t="s">
        <v>1334</v>
      </c>
      <c r="B18" s="3" t="s">
        <v>1335</v>
      </c>
      <c r="C18" s="3" t="s">
        <v>1316</v>
      </c>
      <c r="D18" s="3" t="s">
        <v>891</v>
      </c>
      <c r="E18" s="3" t="s">
        <v>891</v>
      </c>
      <c r="F18" s="3" t="s">
        <v>679</v>
      </c>
      <c r="G18" s="3" t="s">
        <v>311</v>
      </c>
    </row>
    <row r="19" spans="1:7" s="3" customFormat="1" x14ac:dyDescent="0.25">
      <c r="A19" s="3" t="s">
        <v>969</v>
      </c>
      <c r="B19" s="3" t="s">
        <v>970</v>
      </c>
      <c r="C19" s="3" t="s">
        <v>971</v>
      </c>
      <c r="D19" s="3" t="s">
        <v>891</v>
      </c>
      <c r="E19" s="3" t="s">
        <v>891</v>
      </c>
      <c r="F19" s="3" t="s">
        <v>679</v>
      </c>
      <c r="G19" s="3" t="s">
        <v>311</v>
      </c>
    </row>
    <row r="20" spans="1:7" x14ac:dyDescent="0.25">
      <c r="A20" t="s">
        <v>972</v>
      </c>
      <c r="B20" t="s">
        <v>973</v>
      </c>
      <c r="C20" t="s">
        <v>974</v>
      </c>
      <c r="D20" t="s">
        <v>973</v>
      </c>
      <c r="E20" t="s">
        <v>975</v>
      </c>
      <c r="F20" t="s">
        <v>891</v>
      </c>
      <c r="G20" t="s">
        <v>891</v>
      </c>
    </row>
    <row r="21" spans="1:7" x14ac:dyDescent="0.25">
      <c r="A21" t="s">
        <v>993</v>
      </c>
      <c r="B21" t="s">
        <v>994</v>
      </c>
      <c r="C21" t="s">
        <v>1336</v>
      </c>
      <c r="D21" t="s">
        <v>891</v>
      </c>
      <c r="E21" t="s">
        <v>891</v>
      </c>
      <c r="F21" t="s">
        <v>891</v>
      </c>
      <c r="G21" t="s">
        <v>891</v>
      </c>
    </row>
    <row r="22" spans="1:7" x14ac:dyDescent="0.25">
      <c r="A22" t="s">
        <v>1006</v>
      </c>
      <c r="B22" t="s">
        <v>1007</v>
      </c>
      <c r="C22" t="s">
        <v>1008</v>
      </c>
      <c r="D22" t="s">
        <v>1007</v>
      </c>
      <c r="E22" t="s">
        <v>1009</v>
      </c>
      <c r="F22" t="s">
        <v>891</v>
      </c>
      <c r="G22" t="s">
        <v>891</v>
      </c>
    </row>
    <row r="23" spans="1:7" s="3" customFormat="1" x14ac:dyDescent="0.25">
      <c r="A23" s="3" t="s">
        <v>1337</v>
      </c>
      <c r="B23" s="3" t="s">
        <v>1338</v>
      </c>
      <c r="C23" s="3" t="s">
        <v>1037</v>
      </c>
      <c r="D23" s="3" t="s">
        <v>1346</v>
      </c>
      <c r="E23" s="3" t="s">
        <v>1347</v>
      </c>
      <c r="F23" s="3" t="s">
        <v>679</v>
      </c>
      <c r="G23" s="3" t="s">
        <v>311</v>
      </c>
    </row>
    <row r="24" spans="1:7" s="3" customFormat="1" x14ac:dyDescent="0.25">
      <c r="A24" s="3" t="s">
        <v>1018</v>
      </c>
      <c r="B24" s="3" t="s">
        <v>1019</v>
      </c>
      <c r="C24" s="3" t="s">
        <v>960</v>
      </c>
      <c r="D24" s="3" t="s">
        <v>891</v>
      </c>
      <c r="E24" s="3" t="s">
        <v>891</v>
      </c>
      <c r="F24" s="3" t="s">
        <v>679</v>
      </c>
      <c r="G24" s="3" t="s">
        <v>311</v>
      </c>
    </row>
    <row r="25" spans="1:7" x14ac:dyDescent="0.25">
      <c r="A25" t="s">
        <v>1028</v>
      </c>
      <c r="B25" t="s">
        <v>1029</v>
      </c>
      <c r="C25" t="s">
        <v>1131</v>
      </c>
      <c r="D25" t="s">
        <v>1029</v>
      </c>
      <c r="E25" t="s">
        <v>1031</v>
      </c>
      <c r="F25" t="s">
        <v>891</v>
      </c>
      <c r="G25" t="s">
        <v>891</v>
      </c>
    </row>
    <row r="26" spans="1:7" x14ac:dyDescent="0.25">
      <c r="A26" t="s">
        <v>1032</v>
      </c>
      <c r="B26" t="s">
        <v>1033</v>
      </c>
      <c r="C26" t="s">
        <v>1131</v>
      </c>
      <c r="D26" t="s">
        <v>1033</v>
      </c>
      <c r="E26" t="s">
        <v>1034</v>
      </c>
      <c r="F26" t="s">
        <v>891</v>
      </c>
      <c r="G26" t="s">
        <v>891</v>
      </c>
    </row>
    <row r="27" spans="1:7" s="3" customFormat="1" x14ac:dyDescent="0.25">
      <c r="A27" s="3" t="s">
        <v>1265</v>
      </c>
      <c r="B27" s="3" t="s">
        <v>1339</v>
      </c>
      <c r="C27" s="3" t="s">
        <v>1197</v>
      </c>
      <c r="D27" s="3" t="s">
        <v>891</v>
      </c>
      <c r="E27" s="3" t="s">
        <v>891</v>
      </c>
      <c r="F27" s="3" t="s">
        <v>679</v>
      </c>
      <c r="G27" s="3" t="s">
        <v>311</v>
      </c>
    </row>
    <row r="28" spans="1:7" s="3" customFormat="1" x14ac:dyDescent="0.25">
      <c r="A28" s="3" t="s">
        <v>1267</v>
      </c>
      <c r="B28" s="3" t="s">
        <v>1340</v>
      </c>
      <c r="C28" s="3" t="s">
        <v>1197</v>
      </c>
      <c r="D28" s="3" t="s">
        <v>891</v>
      </c>
      <c r="E28" s="3" t="s">
        <v>891</v>
      </c>
      <c r="F28" s="3" t="s">
        <v>679</v>
      </c>
      <c r="G28" s="3" t="s">
        <v>311</v>
      </c>
    </row>
    <row r="29" spans="1:7" x14ac:dyDescent="0.25">
      <c r="A29" t="s">
        <v>1038</v>
      </c>
      <c r="B29" t="s">
        <v>1039</v>
      </c>
      <c r="C29" t="s">
        <v>1341</v>
      </c>
      <c r="D29" t="s">
        <v>1039</v>
      </c>
      <c r="E29" t="s">
        <v>1040</v>
      </c>
      <c r="F29" t="s">
        <v>891</v>
      </c>
      <c r="G29" t="s">
        <v>891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zoomScale="85" zoomScaleNormal="85" workbookViewId="0">
      <selection activeCell="G19" sqref="G19:G20"/>
    </sheetView>
  </sheetViews>
  <sheetFormatPr defaultRowHeight="15" x14ac:dyDescent="0.25"/>
  <cols>
    <col min="1" max="1" width="16" bestFit="1" customWidth="1"/>
    <col min="2" max="2" width="32.42578125" bestFit="1" customWidth="1"/>
    <col min="3" max="3" width="110" bestFit="1" customWidth="1"/>
    <col min="4" max="4" width="32.42578125" bestFit="1" customWidth="1"/>
    <col min="5" max="5" width="12.7109375" bestFit="1" customWidth="1"/>
    <col min="6" max="6" width="7.42578125" bestFit="1" customWidth="1"/>
    <col min="7" max="7" width="12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x14ac:dyDescent="0.25">
      <c r="A2" t="s">
        <v>897</v>
      </c>
      <c r="B2" t="s">
        <v>285</v>
      </c>
      <c r="C2" t="s">
        <v>1348</v>
      </c>
      <c r="D2" t="s">
        <v>285</v>
      </c>
      <c r="E2" t="s">
        <v>17</v>
      </c>
      <c r="F2" t="s">
        <v>891</v>
      </c>
      <c r="G2" t="s">
        <v>891</v>
      </c>
    </row>
    <row r="3" spans="1:7" s="3" customFormat="1" x14ac:dyDescent="0.25">
      <c r="A3" s="3" t="s">
        <v>1221</v>
      </c>
      <c r="B3" s="3" t="s">
        <v>1222</v>
      </c>
      <c r="C3" s="3" t="s">
        <v>1223</v>
      </c>
      <c r="D3" s="3" t="s">
        <v>891</v>
      </c>
      <c r="E3" s="3" t="s">
        <v>891</v>
      </c>
      <c r="F3" s="3" t="s">
        <v>891</v>
      </c>
      <c r="G3" s="3" t="s">
        <v>891</v>
      </c>
    </row>
    <row r="4" spans="1:7" s="3" customFormat="1" x14ac:dyDescent="0.25">
      <c r="A4" s="3" t="s">
        <v>1224</v>
      </c>
      <c r="B4" s="3" t="s">
        <v>1225</v>
      </c>
      <c r="C4" s="3" t="s">
        <v>1223</v>
      </c>
      <c r="D4" s="3" t="s">
        <v>891</v>
      </c>
      <c r="E4" s="3" t="s">
        <v>891</v>
      </c>
      <c r="F4" s="3" t="s">
        <v>891</v>
      </c>
      <c r="G4" s="3" t="s">
        <v>891</v>
      </c>
    </row>
    <row r="5" spans="1:7" x14ac:dyDescent="0.25">
      <c r="A5" t="s">
        <v>906</v>
      </c>
      <c r="B5" t="s">
        <v>1349</v>
      </c>
      <c r="C5" t="s">
        <v>1348</v>
      </c>
      <c r="D5" t="s">
        <v>1349</v>
      </c>
      <c r="E5" t="s">
        <v>647</v>
      </c>
      <c r="F5" t="s">
        <v>891</v>
      </c>
      <c r="G5" t="s">
        <v>891</v>
      </c>
    </row>
    <row r="6" spans="1:7" s="3" customFormat="1" x14ac:dyDescent="0.25">
      <c r="A6" s="3" t="s">
        <v>1350</v>
      </c>
      <c r="B6" s="3" t="s">
        <v>1351</v>
      </c>
      <c r="C6" s="3" t="s">
        <v>1352</v>
      </c>
      <c r="D6" s="3" t="s">
        <v>1351</v>
      </c>
      <c r="E6" s="3" t="s">
        <v>1353</v>
      </c>
      <c r="F6" s="3" t="s">
        <v>679</v>
      </c>
      <c r="G6" s="3" t="s">
        <v>311</v>
      </c>
    </row>
    <row r="7" spans="1:7" x14ac:dyDescent="0.25">
      <c r="A7" t="s">
        <v>1354</v>
      </c>
      <c r="B7" t="s">
        <v>1355</v>
      </c>
      <c r="C7" t="s">
        <v>1356</v>
      </c>
      <c r="D7" t="s">
        <v>1355</v>
      </c>
      <c r="E7" t="s">
        <v>1357</v>
      </c>
      <c r="F7" t="s">
        <v>891</v>
      </c>
      <c r="G7" t="s">
        <v>891</v>
      </c>
    </row>
    <row r="8" spans="1:7" s="3" customFormat="1" x14ac:dyDescent="0.25">
      <c r="A8" s="3" t="s">
        <v>1317</v>
      </c>
      <c r="B8" s="3" t="s">
        <v>1318</v>
      </c>
      <c r="C8" s="3" t="s">
        <v>1316</v>
      </c>
      <c r="D8" s="3" t="s">
        <v>891</v>
      </c>
      <c r="E8" s="3" t="s">
        <v>891</v>
      </c>
      <c r="F8" s="3" t="s">
        <v>891</v>
      </c>
      <c r="G8" s="3" t="s">
        <v>891</v>
      </c>
    </row>
    <row r="9" spans="1:7" x14ac:dyDescent="0.25">
      <c r="A9" t="s">
        <v>909</v>
      </c>
      <c r="B9" t="s">
        <v>528</v>
      </c>
      <c r="C9" t="s">
        <v>920</v>
      </c>
      <c r="D9" t="s">
        <v>528</v>
      </c>
      <c r="E9" t="s">
        <v>509</v>
      </c>
      <c r="F9" t="s">
        <v>891</v>
      </c>
      <c r="G9" t="s">
        <v>891</v>
      </c>
    </row>
    <row r="10" spans="1:7" x14ac:dyDescent="0.25">
      <c r="A10" t="s">
        <v>910</v>
      </c>
      <c r="B10" t="s">
        <v>529</v>
      </c>
      <c r="C10" t="s">
        <v>920</v>
      </c>
      <c r="D10" t="s">
        <v>529</v>
      </c>
      <c r="E10" t="s">
        <v>510</v>
      </c>
      <c r="F10" t="s">
        <v>891</v>
      </c>
      <c r="G10" t="s">
        <v>891</v>
      </c>
    </row>
    <row r="11" spans="1:7" s="3" customFormat="1" x14ac:dyDescent="0.25">
      <c r="A11" s="3" t="s">
        <v>969</v>
      </c>
      <c r="B11" s="3" t="s">
        <v>970</v>
      </c>
      <c r="C11" s="3" t="s">
        <v>971</v>
      </c>
      <c r="D11" s="3" t="s">
        <v>891</v>
      </c>
      <c r="E11" s="3" t="s">
        <v>1361</v>
      </c>
      <c r="F11" s="3" t="s">
        <v>679</v>
      </c>
      <c r="G11" s="3" t="s">
        <v>311</v>
      </c>
    </row>
    <row r="12" spans="1:7" x14ac:dyDescent="0.25">
      <c r="A12" t="s">
        <v>972</v>
      </c>
      <c r="B12" t="s">
        <v>973</v>
      </c>
      <c r="C12" t="s">
        <v>974</v>
      </c>
      <c r="D12" t="s">
        <v>973</v>
      </c>
      <c r="E12" t="s">
        <v>975</v>
      </c>
      <c r="F12" t="s">
        <v>891</v>
      </c>
      <c r="G12" t="s">
        <v>891</v>
      </c>
    </row>
    <row r="13" spans="1:7" x14ac:dyDescent="0.25">
      <c r="A13" t="s">
        <v>993</v>
      </c>
      <c r="B13" t="s">
        <v>994</v>
      </c>
      <c r="C13" t="s">
        <v>1336</v>
      </c>
      <c r="D13" t="s">
        <v>891</v>
      </c>
      <c r="E13" t="s">
        <v>891</v>
      </c>
      <c r="F13" t="s">
        <v>891</v>
      </c>
      <c r="G13" t="s">
        <v>891</v>
      </c>
    </row>
    <row r="14" spans="1:7" s="3" customFormat="1" x14ac:dyDescent="0.25">
      <c r="A14" s="3" t="s">
        <v>1358</v>
      </c>
      <c r="B14" s="3" t="s">
        <v>1359</v>
      </c>
      <c r="C14" s="3" t="s">
        <v>1360</v>
      </c>
      <c r="D14" s="3" t="s">
        <v>891</v>
      </c>
      <c r="E14" s="3" t="s">
        <v>891</v>
      </c>
      <c r="F14" s="3" t="s">
        <v>891</v>
      </c>
      <c r="G14" s="3" t="s">
        <v>311</v>
      </c>
    </row>
    <row r="15" spans="1:7" x14ac:dyDescent="0.25">
      <c r="A15" t="s">
        <v>1006</v>
      </c>
      <c r="B15" t="s">
        <v>1007</v>
      </c>
      <c r="C15" t="s">
        <v>1008</v>
      </c>
      <c r="D15" t="s">
        <v>1007</v>
      </c>
      <c r="E15" t="s">
        <v>1009</v>
      </c>
      <c r="F15" t="s">
        <v>891</v>
      </c>
      <c r="G15" t="s">
        <v>891</v>
      </c>
    </row>
    <row r="16" spans="1:7" x14ac:dyDescent="0.25">
      <c r="A16" t="s">
        <v>1018</v>
      </c>
      <c r="B16" t="s">
        <v>1019</v>
      </c>
      <c r="C16" t="s">
        <v>960</v>
      </c>
      <c r="D16" t="s">
        <v>891</v>
      </c>
      <c r="E16" t="s">
        <v>891</v>
      </c>
      <c r="F16" t="s">
        <v>891</v>
      </c>
      <c r="G16" t="s">
        <v>891</v>
      </c>
    </row>
    <row r="17" spans="1:7" x14ac:dyDescent="0.25">
      <c r="A17" t="s">
        <v>1028</v>
      </c>
      <c r="B17" t="s">
        <v>1029</v>
      </c>
      <c r="C17" t="s">
        <v>1131</v>
      </c>
      <c r="D17" t="s">
        <v>1029</v>
      </c>
      <c r="E17" t="s">
        <v>1031</v>
      </c>
      <c r="F17" t="s">
        <v>891</v>
      </c>
      <c r="G17" t="s">
        <v>891</v>
      </c>
    </row>
    <row r="18" spans="1:7" x14ac:dyDescent="0.25">
      <c r="A18" t="s">
        <v>1032</v>
      </c>
      <c r="B18" t="s">
        <v>1033</v>
      </c>
      <c r="C18" t="s">
        <v>1131</v>
      </c>
      <c r="D18" t="s">
        <v>1033</v>
      </c>
      <c r="E18" t="s">
        <v>1034</v>
      </c>
      <c r="F18" t="s">
        <v>891</v>
      </c>
      <c r="G18" t="s">
        <v>891</v>
      </c>
    </row>
    <row r="19" spans="1:7" s="3" customFormat="1" x14ac:dyDescent="0.25">
      <c r="A19" s="3" t="s">
        <v>1265</v>
      </c>
      <c r="B19" s="3" t="s">
        <v>1339</v>
      </c>
      <c r="C19" s="3" t="s">
        <v>1197</v>
      </c>
      <c r="D19" s="3" t="s">
        <v>891</v>
      </c>
      <c r="E19" s="3" t="s">
        <v>891</v>
      </c>
      <c r="F19" s="3" t="s">
        <v>891</v>
      </c>
      <c r="G19" s="3" t="s">
        <v>311</v>
      </c>
    </row>
    <row r="20" spans="1:7" s="3" customFormat="1" x14ac:dyDescent="0.25">
      <c r="A20" s="3" t="s">
        <v>1267</v>
      </c>
      <c r="B20" s="3" t="s">
        <v>1340</v>
      </c>
      <c r="C20" s="3" t="s">
        <v>1197</v>
      </c>
      <c r="D20" s="3" t="s">
        <v>891</v>
      </c>
      <c r="E20" s="3" t="s">
        <v>891</v>
      </c>
      <c r="F20" s="3" t="s">
        <v>891</v>
      </c>
      <c r="G20" s="3" t="s">
        <v>311</v>
      </c>
    </row>
    <row r="21" spans="1:7" x14ac:dyDescent="0.25">
      <c r="A21" t="s">
        <v>1038</v>
      </c>
      <c r="B21" t="s">
        <v>1039</v>
      </c>
      <c r="C21" t="s">
        <v>1341</v>
      </c>
      <c r="D21" t="s">
        <v>1039</v>
      </c>
      <c r="E21" t="s">
        <v>1040</v>
      </c>
      <c r="F21" t="s">
        <v>891</v>
      </c>
      <c r="G21" t="s">
        <v>891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B1" zoomScale="85" zoomScaleNormal="85" workbookViewId="0">
      <selection activeCell="B28" sqref="B28"/>
    </sheetView>
  </sheetViews>
  <sheetFormatPr defaultRowHeight="15" x14ac:dyDescent="0.25"/>
  <cols>
    <col min="1" max="1" width="16" bestFit="1" customWidth="1"/>
    <col min="2" max="2" width="32.42578125" bestFit="1" customWidth="1"/>
    <col min="3" max="3" width="110" bestFit="1" customWidth="1"/>
    <col min="4" max="4" width="32.42578125" bestFit="1" customWidth="1"/>
    <col min="5" max="5" width="12.7109375" bestFit="1" customWidth="1"/>
    <col min="6" max="6" width="6.28515625" bestFit="1" customWidth="1"/>
    <col min="7" max="7" width="12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s="3" customFormat="1" x14ac:dyDescent="0.25">
      <c r="A2" s="3" t="s">
        <v>1221</v>
      </c>
      <c r="B2" s="3" t="s">
        <v>1222</v>
      </c>
      <c r="C2" s="3" t="s">
        <v>1223</v>
      </c>
      <c r="D2" s="3" t="s">
        <v>891</v>
      </c>
      <c r="E2" s="3" t="s">
        <v>891</v>
      </c>
      <c r="F2" s="3" t="s">
        <v>891</v>
      </c>
      <c r="G2" s="3" t="s">
        <v>891</v>
      </c>
    </row>
    <row r="3" spans="1:7" s="3" customFormat="1" x14ac:dyDescent="0.25">
      <c r="A3" s="3" t="s">
        <v>1224</v>
      </c>
      <c r="B3" s="3" t="s">
        <v>1225</v>
      </c>
      <c r="C3" s="3" t="s">
        <v>1223</v>
      </c>
      <c r="D3" s="3" t="s">
        <v>891</v>
      </c>
      <c r="E3" s="3" t="s">
        <v>891</v>
      </c>
      <c r="F3" s="3" t="s">
        <v>891</v>
      </c>
      <c r="G3" s="3" t="s">
        <v>891</v>
      </c>
    </row>
    <row r="4" spans="1:7" x14ac:dyDescent="0.25">
      <c r="A4" t="s">
        <v>906</v>
      </c>
      <c r="B4" t="s">
        <v>1349</v>
      </c>
      <c r="C4" t="s">
        <v>1348</v>
      </c>
      <c r="D4" t="s">
        <v>1349</v>
      </c>
      <c r="E4" t="s">
        <v>647</v>
      </c>
      <c r="F4" t="s">
        <v>891</v>
      </c>
      <c r="G4" t="s">
        <v>891</v>
      </c>
    </row>
    <row r="5" spans="1:7" x14ac:dyDescent="0.25">
      <c r="A5" t="s">
        <v>1354</v>
      </c>
      <c r="B5" t="s">
        <v>1355</v>
      </c>
      <c r="C5" t="s">
        <v>1356</v>
      </c>
      <c r="D5" t="s">
        <v>1355</v>
      </c>
      <c r="E5" t="s">
        <v>1357</v>
      </c>
      <c r="F5" t="s">
        <v>891</v>
      </c>
      <c r="G5" t="s">
        <v>891</v>
      </c>
    </row>
    <row r="6" spans="1:7" s="3" customFormat="1" x14ac:dyDescent="0.25">
      <c r="A6" s="3" t="s">
        <v>1362</v>
      </c>
      <c r="B6" s="3" t="s">
        <v>1363</v>
      </c>
      <c r="C6" s="3" t="s">
        <v>1364</v>
      </c>
      <c r="D6" s="3" t="s">
        <v>891</v>
      </c>
      <c r="E6" s="3" t="s">
        <v>891</v>
      </c>
      <c r="F6" s="3" t="s">
        <v>679</v>
      </c>
      <c r="G6" s="3" t="s">
        <v>311</v>
      </c>
    </row>
    <row r="7" spans="1:7" s="3" customFormat="1" x14ac:dyDescent="0.25">
      <c r="A7" s="3" t="s">
        <v>1365</v>
      </c>
      <c r="B7" s="3" t="s">
        <v>1366</v>
      </c>
      <c r="C7" s="3" t="s">
        <v>1367</v>
      </c>
      <c r="D7" s="3" t="s">
        <v>891</v>
      </c>
      <c r="E7" s="3" t="s">
        <v>891</v>
      </c>
      <c r="F7" s="3" t="s">
        <v>679</v>
      </c>
      <c r="G7" s="3" t="s">
        <v>311</v>
      </c>
    </row>
    <row r="8" spans="1:7" x14ac:dyDescent="0.25">
      <c r="A8" t="s">
        <v>909</v>
      </c>
      <c r="B8" t="s">
        <v>528</v>
      </c>
      <c r="C8" t="s">
        <v>920</v>
      </c>
      <c r="D8" t="s">
        <v>528</v>
      </c>
      <c r="E8" t="s">
        <v>509</v>
      </c>
      <c r="F8" t="s">
        <v>891</v>
      </c>
      <c r="G8" t="s">
        <v>891</v>
      </c>
    </row>
    <row r="9" spans="1:7" x14ac:dyDescent="0.25">
      <c r="A9" t="s">
        <v>910</v>
      </c>
      <c r="B9" t="s">
        <v>529</v>
      </c>
      <c r="C9" t="s">
        <v>920</v>
      </c>
      <c r="D9" t="s">
        <v>529</v>
      </c>
      <c r="E9" t="s">
        <v>510</v>
      </c>
      <c r="F9" t="s">
        <v>891</v>
      </c>
      <c r="G9" t="s">
        <v>891</v>
      </c>
    </row>
    <row r="10" spans="1:7" s="3" customFormat="1" x14ac:dyDescent="0.25">
      <c r="A10" s="3" t="s">
        <v>1368</v>
      </c>
      <c r="B10" s="3" t="s">
        <v>1369</v>
      </c>
      <c r="C10" s="3" t="s">
        <v>1364</v>
      </c>
      <c r="D10" s="3" t="s">
        <v>891</v>
      </c>
      <c r="E10" s="3" t="s">
        <v>891</v>
      </c>
      <c r="F10" s="3" t="s">
        <v>679</v>
      </c>
      <c r="G10" s="3" t="s">
        <v>311</v>
      </c>
    </row>
    <row r="11" spans="1:7" x14ac:dyDescent="0.25">
      <c r="A11" t="s">
        <v>897</v>
      </c>
      <c r="B11" t="s">
        <v>285</v>
      </c>
      <c r="C11" t="s">
        <v>1348</v>
      </c>
      <c r="D11" t="s">
        <v>285</v>
      </c>
      <c r="E11" t="s">
        <v>17</v>
      </c>
      <c r="F11" t="s">
        <v>891</v>
      </c>
      <c r="G11" t="s">
        <v>891</v>
      </c>
    </row>
    <row r="12" spans="1:7" s="3" customFormat="1" x14ac:dyDescent="0.25">
      <c r="A12" s="3" t="s">
        <v>1370</v>
      </c>
      <c r="B12" s="3" t="s">
        <v>1371</v>
      </c>
      <c r="C12" s="3" t="s">
        <v>1372</v>
      </c>
      <c r="D12" s="3" t="s">
        <v>891</v>
      </c>
      <c r="E12" s="3" t="s">
        <v>891</v>
      </c>
      <c r="F12" s="3" t="s">
        <v>1381</v>
      </c>
      <c r="G12" s="3" t="s">
        <v>311</v>
      </c>
    </row>
    <row r="13" spans="1:7" x14ac:dyDescent="0.25">
      <c r="A13" t="s">
        <v>1373</v>
      </c>
      <c r="B13" t="s">
        <v>1374</v>
      </c>
      <c r="C13" t="s">
        <v>1375</v>
      </c>
      <c r="D13" t="s">
        <v>1374</v>
      </c>
      <c r="E13" t="s">
        <v>1376</v>
      </c>
      <c r="F13" t="s">
        <v>891</v>
      </c>
      <c r="G13" t="s">
        <v>891</v>
      </c>
    </row>
    <row r="14" spans="1:7" s="3" customFormat="1" x14ac:dyDescent="0.25">
      <c r="A14" s="3" t="s">
        <v>1377</v>
      </c>
      <c r="B14" s="3" t="s">
        <v>1378</v>
      </c>
      <c r="C14" s="3" t="s">
        <v>119</v>
      </c>
      <c r="D14" s="3" t="s">
        <v>891</v>
      </c>
      <c r="E14" s="3" t="s">
        <v>891</v>
      </c>
      <c r="F14" s="3" t="s">
        <v>679</v>
      </c>
      <c r="G14" s="3" t="s">
        <v>311</v>
      </c>
    </row>
    <row r="15" spans="1:7" x14ac:dyDescent="0.25">
      <c r="A15" t="s">
        <v>969</v>
      </c>
      <c r="B15" t="s">
        <v>970</v>
      </c>
      <c r="C15" t="s">
        <v>971</v>
      </c>
      <c r="D15" t="s">
        <v>891</v>
      </c>
      <c r="E15" t="s">
        <v>891</v>
      </c>
      <c r="F15" t="s">
        <v>891</v>
      </c>
      <c r="G15" t="s">
        <v>891</v>
      </c>
    </row>
    <row r="16" spans="1:7" x14ac:dyDescent="0.25">
      <c r="A16" t="s">
        <v>972</v>
      </c>
      <c r="B16" t="s">
        <v>973</v>
      </c>
      <c r="C16" t="s">
        <v>974</v>
      </c>
      <c r="D16" t="s">
        <v>973</v>
      </c>
      <c r="E16" t="s">
        <v>975</v>
      </c>
      <c r="F16" t="s">
        <v>891</v>
      </c>
      <c r="G16" t="s">
        <v>891</v>
      </c>
    </row>
    <row r="17" spans="1:7" x14ac:dyDescent="0.25">
      <c r="A17" t="s">
        <v>993</v>
      </c>
      <c r="B17" t="s">
        <v>994</v>
      </c>
      <c r="C17" t="s">
        <v>1379</v>
      </c>
      <c r="D17" t="s">
        <v>891</v>
      </c>
      <c r="E17" t="s">
        <v>891</v>
      </c>
      <c r="F17" t="s">
        <v>891</v>
      </c>
      <c r="G17" t="s">
        <v>891</v>
      </c>
    </row>
    <row r="18" spans="1:7" x14ac:dyDescent="0.25">
      <c r="A18" t="s">
        <v>1006</v>
      </c>
      <c r="B18" t="s">
        <v>1007</v>
      </c>
      <c r="C18" t="s">
        <v>1008</v>
      </c>
      <c r="D18" t="s">
        <v>1007</v>
      </c>
      <c r="E18" t="s">
        <v>1009</v>
      </c>
      <c r="F18" t="s">
        <v>891</v>
      </c>
      <c r="G18" t="s">
        <v>891</v>
      </c>
    </row>
    <row r="19" spans="1:7" s="3" customFormat="1" x14ac:dyDescent="0.25">
      <c r="A19" s="3" t="s">
        <v>1018</v>
      </c>
      <c r="B19" s="3" t="s">
        <v>1019</v>
      </c>
      <c r="C19" s="3" t="s">
        <v>960</v>
      </c>
      <c r="D19" s="3" t="s">
        <v>891</v>
      </c>
      <c r="E19" s="3" t="s">
        <v>891</v>
      </c>
      <c r="F19" s="3" t="s">
        <v>1382</v>
      </c>
      <c r="G19" s="3" t="s">
        <v>891</v>
      </c>
    </row>
    <row r="20" spans="1:7" x14ac:dyDescent="0.25">
      <c r="A20" t="s">
        <v>1028</v>
      </c>
      <c r="B20" t="s">
        <v>1029</v>
      </c>
      <c r="C20" t="s">
        <v>1131</v>
      </c>
      <c r="D20" t="s">
        <v>1029</v>
      </c>
      <c r="E20" t="s">
        <v>1031</v>
      </c>
      <c r="F20" t="s">
        <v>891</v>
      </c>
      <c r="G20" t="s">
        <v>891</v>
      </c>
    </row>
    <row r="21" spans="1:7" x14ac:dyDescent="0.25">
      <c r="A21" t="s">
        <v>1032</v>
      </c>
      <c r="B21" t="s">
        <v>1033</v>
      </c>
      <c r="C21" t="s">
        <v>1131</v>
      </c>
      <c r="D21" t="s">
        <v>1033</v>
      </c>
      <c r="E21" t="s">
        <v>1034</v>
      </c>
      <c r="F21" t="s">
        <v>891</v>
      </c>
      <c r="G21" t="s">
        <v>891</v>
      </c>
    </row>
    <row r="22" spans="1:7" s="3" customFormat="1" x14ac:dyDescent="0.25">
      <c r="A22" s="3" t="s">
        <v>1265</v>
      </c>
      <c r="B22" s="3" t="s">
        <v>1339</v>
      </c>
      <c r="C22" s="3" t="s">
        <v>1197</v>
      </c>
      <c r="D22" s="3" t="s">
        <v>891</v>
      </c>
      <c r="E22" s="3" t="s">
        <v>891</v>
      </c>
      <c r="F22" s="3" t="s">
        <v>891</v>
      </c>
      <c r="G22" s="3" t="s">
        <v>891</v>
      </c>
    </row>
    <row r="23" spans="1:7" s="3" customFormat="1" x14ac:dyDescent="0.25">
      <c r="A23" s="3" t="s">
        <v>1267</v>
      </c>
      <c r="B23" s="3" t="s">
        <v>1340</v>
      </c>
      <c r="C23" s="3" t="s">
        <v>1197</v>
      </c>
      <c r="D23" s="3" t="s">
        <v>891</v>
      </c>
      <c r="E23" s="3" t="s">
        <v>891</v>
      </c>
      <c r="F23" s="3" t="s">
        <v>891</v>
      </c>
      <c r="G23" s="3" t="s">
        <v>891</v>
      </c>
    </row>
    <row r="24" spans="1:7" x14ac:dyDescent="0.25">
      <c r="A24" t="s">
        <v>1038</v>
      </c>
      <c r="B24" t="s">
        <v>1039</v>
      </c>
      <c r="C24" t="s">
        <v>1380</v>
      </c>
      <c r="D24" t="s">
        <v>1039</v>
      </c>
      <c r="E24" t="s">
        <v>1040</v>
      </c>
      <c r="F24" t="s">
        <v>891</v>
      </c>
      <c r="G24" t="s">
        <v>891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85" zoomScaleNormal="85" workbookViewId="0">
      <selection activeCell="B2" sqref="B2:B29"/>
    </sheetView>
  </sheetViews>
  <sheetFormatPr defaultRowHeight="15" x14ac:dyDescent="0.25"/>
  <cols>
    <col min="1" max="1" width="16" bestFit="1" customWidth="1"/>
    <col min="2" max="2" width="32.42578125" bestFit="1" customWidth="1"/>
    <col min="3" max="3" width="110" bestFit="1" customWidth="1"/>
    <col min="4" max="4" width="32.42578125" bestFit="1" customWidth="1"/>
    <col min="5" max="5" width="12.7109375" bestFit="1" customWidth="1"/>
    <col min="6" max="6" width="36" bestFit="1" customWidth="1"/>
    <col min="7" max="7" width="28.5703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s="3" customFormat="1" x14ac:dyDescent="0.25">
      <c r="A2" s="3" t="s">
        <v>1221</v>
      </c>
      <c r="B2" s="3" t="s">
        <v>1222</v>
      </c>
      <c r="C2" s="3" t="s">
        <v>1223</v>
      </c>
      <c r="D2" s="3" t="s">
        <v>891</v>
      </c>
      <c r="E2" s="3" t="s">
        <v>891</v>
      </c>
      <c r="F2" s="3" t="s">
        <v>891</v>
      </c>
      <c r="G2" s="3" t="s">
        <v>891</v>
      </c>
    </row>
    <row r="3" spans="1:7" s="3" customFormat="1" x14ac:dyDescent="0.25">
      <c r="A3" s="3" t="s">
        <v>1224</v>
      </c>
      <c r="B3" s="3" t="s">
        <v>1225</v>
      </c>
      <c r="C3" s="3" t="s">
        <v>1223</v>
      </c>
      <c r="D3" s="3" t="s">
        <v>891</v>
      </c>
      <c r="E3" s="3" t="s">
        <v>891</v>
      </c>
      <c r="F3" s="3" t="s">
        <v>891</v>
      </c>
      <c r="G3" s="3" t="s">
        <v>891</v>
      </c>
    </row>
    <row r="4" spans="1:7" x14ac:dyDescent="0.25">
      <c r="A4" t="s">
        <v>906</v>
      </c>
      <c r="B4" t="s">
        <v>1349</v>
      </c>
      <c r="C4" t="s">
        <v>1348</v>
      </c>
      <c r="D4" t="s">
        <v>1349</v>
      </c>
      <c r="E4" t="s">
        <v>647</v>
      </c>
      <c r="F4" t="s">
        <v>891</v>
      </c>
      <c r="G4" t="s">
        <v>891</v>
      </c>
    </row>
    <row r="5" spans="1:7" s="3" customFormat="1" x14ac:dyDescent="0.25">
      <c r="A5" s="3" t="s">
        <v>1354</v>
      </c>
      <c r="B5" s="3" t="s">
        <v>1355</v>
      </c>
      <c r="C5" s="3" t="s">
        <v>1356</v>
      </c>
      <c r="D5" s="3" t="s">
        <v>1355</v>
      </c>
      <c r="E5" s="3" t="s">
        <v>1357</v>
      </c>
      <c r="G5" s="3" t="s">
        <v>1409</v>
      </c>
    </row>
    <row r="6" spans="1:7" x14ac:dyDescent="0.25">
      <c r="A6" t="s">
        <v>909</v>
      </c>
      <c r="B6" t="s">
        <v>528</v>
      </c>
      <c r="C6" t="s">
        <v>920</v>
      </c>
      <c r="D6" t="s">
        <v>528</v>
      </c>
      <c r="E6" t="s">
        <v>509</v>
      </c>
      <c r="F6" t="s">
        <v>891</v>
      </c>
      <c r="G6" t="s">
        <v>891</v>
      </c>
    </row>
    <row r="7" spans="1:7" x14ac:dyDescent="0.25">
      <c r="A7" t="s">
        <v>910</v>
      </c>
      <c r="B7" t="s">
        <v>529</v>
      </c>
      <c r="C7" t="s">
        <v>920</v>
      </c>
      <c r="D7" t="s">
        <v>529</v>
      </c>
      <c r="E7" t="s">
        <v>510</v>
      </c>
      <c r="F7" t="s">
        <v>891</v>
      </c>
      <c r="G7" t="s">
        <v>891</v>
      </c>
    </row>
    <row r="8" spans="1:7" s="3" customFormat="1" x14ac:dyDescent="0.25">
      <c r="A8" s="3" t="s">
        <v>1383</v>
      </c>
      <c r="B8" s="3" t="s">
        <v>1384</v>
      </c>
      <c r="C8" s="3" t="s">
        <v>1385</v>
      </c>
      <c r="D8" s="3" t="s">
        <v>891</v>
      </c>
      <c r="E8" s="3" t="s">
        <v>891</v>
      </c>
      <c r="F8" s="3" t="s">
        <v>891</v>
      </c>
      <c r="G8" s="3" t="s">
        <v>311</v>
      </c>
    </row>
    <row r="9" spans="1:7" s="3" customFormat="1" x14ac:dyDescent="0.25">
      <c r="A9" s="3" t="s">
        <v>1386</v>
      </c>
      <c r="B9" s="3" t="s">
        <v>1387</v>
      </c>
      <c r="C9" s="3" t="s">
        <v>1385</v>
      </c>
      <c r="D9" s="3" t="s">
        <v>891</v>
      </c>
      <c r="E9" s="3" t="s">
        <v>891</v>
      </c>
      <c r="F9" s="3" t="s">
        <v>891</v>
      </c>
      <c r="G9" s="3" t="s">
        <v>311</v>
      </c>
    </row>
    <row r="10" spans="1:7" s="3" customFormat="1" x14ac:dyDescent="0.25">
      <c r="A10" s="3" t="s">
        <v>1388</v>
      </c>
      <c r="B10" s="3" t="s">
        <v>1389</v>
      </c>
      <c r="C10" s="3" t="s">
        <v>1385</v>
      </c>
      <c r="D10" s="3" t="s">
        <v>891</v>
      </c>
      <c r="E10" s="3" t="s">
        <v>891</v>
      </c>
      <c r="F10" s="3" t="s">
        <v>891</v>
      </c>
      <c r="G10" s="3" t="s">
        <v>311</v>
      </c>
    </row>
    <row r="11" spans="1:7" s="3" customFormat="1" x14ac:dyDescent="0.25">
      <c r="A11" s="3" t="s">
        <v>1390</v>
      </c>
      <c r="B11" s="3" t="s">
        <v>1391</v>
      </c>
      <c r="C11" s="3" t="s">
        <v>1385</v>
      </c>
      <c r="D11" s="3" t="s">
        <v>891</v>
      </c>
      <c r="E11" s="3" t="s">
        <v>891</v>
      </c>
      <c r="F11" s="3" t="s">
        <v>891</v>
      </c>
      <c r="G11" s="3" t="s">
        <v>311</v>
      </c>
    </row>
    <row r="12" spans="1:7" s="3" customFormat="1" x14ac:dyDescent="0.25">
      <c r="A12" s="3" t="s">
        <v>1392</v>
      </c>
      <c r="B12" s="3" t="s">
        <v>1393</v>
      </c>
      <c r="C12" s="3" t="s">
        <v>1394</v>
      </c>
      <c r="D12" s="3" t="s">
        <v>891</v>
      </c>
      <c r="E12" s="3" t="s">
        <v>891</v>
      </c>
      <c r="F12" s="3" t="s">
        <v>891</v>
      </c>
      <c r="G12" s="3" t="s">
        <v>1409</v>
      </c>
    </row>
    <row r="13" spans="1:7" x14ac:dyDescent="0.25">
      <c r="A13" t="s">
        <v>897</v>
      </c>
      <c r="B13" t="s">
        <v>285</v>
      </c>
      <c r="C13" t="s">
        <v>1395</v>
      </c>
      <c r="D13" t="s">
        <v>285</v>
      </c>
      <c r="E13" t="s">
        <v>17</v>
      </c>
      <c r="F13" t="s">
        <v>891</v>
      </c>
      <c r="G13" t="s">
        <v>891</v>
      </c>
    </row>
    <row r="14" spans="1:7" s="3" customFormat="1" x14ac:dyDescent="0.25">
      <c r="A14" s="3" t="s">
        <v>1373</v>
      </c>
      <c r="B14" s="3" t="s">
        <v>1374</v>
      </c>
      <c r="C14" s="3" t="s">
        <v>1375</v>
      </c>
      <c r="D14" s="3" t="s">
        <v>1374</v>
      </c>
      <c r="E14" s="3" t="s">
        <v>1376</v>
      </c>
      <c r="F14" s="3" t="s">
        <v>891</v>
      </c>
      <c r="G14" s="3" t="s">
        <v>1409</v>
      </c>
    </row>
    <row r="15" spans="1:7" s="3" customFormat="1" x14ac:dyDescent="0.25">
      <c r="A15" s="3" t="s">
        <v>969</v>
      </c>
      <c r="B15" s="3" t="s">
        <v>970</v>
      </c>
      <c r="C15" s="3" t="s">
        <v>971</v>
      </c>
      <c r="D15" s="3" t="s">
        <v>891</v>
      </c>
      <c r="E15" s="3" t="s">
        <v>891</v>
      </c>
      <c r="F15" s="3" t="s">
        <v>891</v>
      </c>
      <c r="G15" s="3" t="s">
        <v>891</v>
      </c>
    </row>
    <row r="16" spans="1:7" x14ac:dyDescent="0.25">
      <c r="A16" t="s">
        <v>972</v>
      </c>
      <c r="B16" t="s">
        <v>973</v>
      </c>
      <c r="C16" t="s">
        <v>974</v>
      </c>
      <c r="D16" t="s">
        <v>973</v>
      </c>
      <c r="E16" t="s">
        <v>975</v>
      </c>
      <c r="F16" t="s">
        <v>891</v>
      </c>
      <c r="G16" t="s">
        <v>891</v>
      </c>
    </row>
    <row r="17" spans="1:7" s="3" customFormat="1" x14ac:dyDescent="0.25">
      <c r="A17" s="3" t="s">
        <v>1396</v>
      </c>
      <c r="B17" s="3" t="s">
        <v>1397</v>
      </c>
      <c r="C17" s="3" t="s">
        <v>1398</v>
      </c>
      <c r="D17" s="3" t="s">
        <v>891</v>
      </c>
      <c r="E17" s="3" t="s">
        <v>891</v>
      </c>
      <c r="F17" s="3" t="s">
        <v>891</v>
      </c>
      <c r="G17" s="3" t="s">
        <v>311</v>
      </c>
    </row>
    <row r="18" spans="1:7" s="3" customFormat="1" x14ac:dyDescent="0.25">
      <c r="A18" s="3" t="s">
        <v>1399</v>
      </c>
      <c r="B18" s="3" t="s">
        <v>1400</v>
      </c>
      <c r="C18" s="3" t="s">
        <v>1398</v>
      </c>
      <c r="D18" s="3" t="s">
        <v>891</v>
      </c>
      <c r="E18" s="3" t="s">
        <v>891</v>
      </c>
      <c r="F18" s="3" t="s">
        <v>891</v>
      </c>
      <c r="G18" s="3" t="s">
        <v>311</v>
      </c>
    </row>
    <row r="19" spans="1:7" s="3" customFormat="1" x14ac:dyDescent="0.25">
      <c r="A19" s="3" t="s">
        <v>1401</v>
      </c>
      <c r="B19" s="3" t="s">
        <v>1402</v>
      </c>
      <c r="C19" s="3" t="s">
        <v>1398</v>
      </c>
      <c r="D19" s="3" t="s">
        <v>891</v>
      </c>
      <c r="E19" s="3" t="s">
        <v>891</v>
      </c>
      <c r="F19" s="3" t="s">
        <v>891</v>
      </c>
      <c r="G19" s="3" t="s">
        <v>311</v>
      </c>
    </row>
    <row r="20" spans="1:7" x14ac:dyDescent="0.25">
      <c r="A20" t="s">
        <v>993</v>
      </c>
      <c r="B20" t="s">
        <v>994</v>
      </c>
      <c r="C20" t="s">
        <v>1403</v>
      </c>
      <c r="D20" t="s">
        <v>891</v>
      </c>
      <c r="E20" t="s">
        <v>891</v>
      </c>
      <c r="F20" t="s">
        <v>891</v>
      </c>
      <c r="G20" t="s">
        <v>891</v>
      </c>
    </row>
    <row r="21" spans="1:7" s="3" customFormat="1" x14ac:dyDescent="0.25">
      <c r="A21" s="3" t="s">
        <v>1006</v>
      </c>
      <c r="B21" s="3" t="s">
        <v>1007</v>
      </c>
      <c r="C21" s="3" t="s">
        <v>1008</v>
      </c>
      <c r="D21" s="3" t="s">
        <v>1007</v>
      </c>
      <c r="E21" s="3" t="s">
        <v>1009</v>
      </c>
      <c r="F21" s="3" t="s">
        <v>891</v>
      </c>
      <c r="G21" s="3" t="s">
        <v>891</v>
      </c>
    </row>
    <row r="22" spans="1:7" s="3" customFormat="1" x14ac:dyDescent="0.25">
      <c r="A22" s="3" t="s">
        <v>1018</v>
      </c>
      <c r="B22" s="3" t="s">
        <v>1019</v>
      </c>
      <c r="C22" s="3" t="s">
        <v>960</v>
      </c>
      <c r="D22" s="3" t="s">
        <v>891</v>
      </c>
      <c r="E22" s="3" t="s">
        <v>891</v>
      </c>
      <c r="F22" s="3" t="s">
        <v>891</v>
      </c>
      <c r="G22" s="3" t="s">
        <v>891</v>
      </c>
    </row>
    <row r="23" spans="1:7" s="3" customFormat="1" x14ac:dyDescent="0.25">
      <c r="A23" s="3" t="s">
        <v>1404</v>
      </c>
      <c r="B23" s="3" t="s">
        <v>1405</v>
      </c>
      <c r="C23" s="3" t="s">
        <v>1385</v>
      </c>
      <c r="D23" s="3" t="s">
        <v>891</v>
      </c>
      <c r="E23" s="3" t="s">
        <v>891</v>
      </c>
      <c r="F23" s="3" t="s">
        <v>891</v>
      </c>
      <c r="G23" s="3" t="s">
        <v>311</v>
      </c>
    </row>
    <row r="24" spans="1:7" s="3" customFormat="1" x14ac:dyDescent="0.25">
      <c r="A24" s="3" t="s">
        <v>1406</v>
      </c>
      <c r="B24" s="3" t="s">
        <v>1407</v>
      </c>
      <c r="C24" s="3" t="s">
        <v>1385</v>
      </c>
      <c r="D24" s="3" t="s">
        <v>891</v>
      </c>
      <c r="E24" s="3" t="s">
        <v>891</v>
      </c>
      <c r="G24" s="3" t="s">
        <v>311</v>
      </c>
    </row>
    <row r="25" spans="1:7" x14ac:dyDescent="0.25">
      <c r="A25" t="s">
        <v>1028</v>
      </c>
      <c r="B25" t="s">
        <v>1029</v>
      </c>
      <c r="C25" t="s">
        <v>1131</v>
      </c>
      <c r="D25" t="s">
        <v>1029</v>
      </c>
      <c r="E25" t="s">
        <v>1031</v>
      </c>
      <c r="F25" t="s">
        <v>891</v>
      </c>
      <c r="G25" t="s">
        <v>891</v>
      </c>
    </row>
    <row r="26" spans="1:7" x14ac:dyDescent="0.25">
      <c r="A26" t="s">
        <v>1032</v>
      </c>
      <c r="B26" t="s">
        <v>1033</v>
      </c>
      <c r="C26" t="s">
        <v>1131</v>
      </c>
      <c r="D26" t="s">
        <v>1033</v>
      </c>
      <c r="E26" t="s">
        <v>1034</v>
      </c>
      <c r="F26" t="s">
        <v>891</v>
      </c>
      <c r="G26" t="s">
        <v>891</v>
      </c>
    </row>
    <row r="27" spans="1:7" s="3" customFormat="1" x14ac:dyDescent="0.25">
      <c r="A27" s="3" t="s">
        <v>1265</v>
      </c>
      <c r="B27" s="3" t="s">
        <v>1339</v>
      </c>
      <c r="C27" s="3" t="s">
        <v>1197</v>
      </c>
      <c r="D27" s="3" t="s">
        <v>891</v>
      </c>
      <c r="E27" s="3" t="s">
        <v>891</v>
      </c>
      <c r="F27" s="3" t="s">
        <v>891</v>
      </c>
      <c r="G27" s="3" t="s">
        <v>311</v>
      </c>
    </row>
    <row r="28" spans="1:7" s="3" customFormat="1" x14ac:dyDescent="0.25">
      <c r="A28" s="3" t="s">
        <v>1267</v>
      </c>
      <c r="B28" s="3" t="s">
        <v>1340</v>
      </c>
      <c r="C28" s="3" t="s">
        <v>1197</v>
      </c>
      <c r="D28" s="3" t="s">
        <v>891</v>
      </c>
      <c r="E28" s="3" t="s">
        <v>891</v>
      </c>
      <c r="F28" s="3" t="s">
        <v>891</v>
      </c>
      <c r="G28" s="3" t="s">
        <v>311</v>
      </c>
    </row>
    <row r="29" spans="1:7" s="3" customFormat="1" x14ac:dyDescent="0.25">
      <c r="A29" s="3" t="s">
        <v>1038</v>
      </c>
      <c r="B29" s="3" t="s">
        <v>1039</v>
      </c>
      <c r="C29" s="3" t="s">
        <v>1408</v>
      </c>
      <c r="D29" s="3" t="s">
        <v>1039</v>
      </c>
      <c r="E29" s="3" t="s">
        <v>1040</v>
      </c>
      <c r="F29" s="3" t="s">
        <v>1410</v>
      </c>
      <c r="G29" s="3" t="s">
        <v>891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85" zoomScaleNormal="85" workbookViewId="0">
      <selection activeCell="C11" sqref="C11"/>
    </sheetView>
  </sheetViews>
  <sheetFormatPr defaultRowHeight="15" x14ac:dyDescent="0.25"/>
  <cols>
    <col min="1" max="1" width="16" bestFit="1" customWidth="1"/>
    <col min="2" max="2" width="32.42578125" bestFit="1" customWidth="1"/>
    <col min="3" max="3" width="110" bestFit="1" customWidth="1"/>
    <col min="4" max="4" width="32.42578125" bestFit="1" customWidth="1"/>
    <col min="5" max="5" width="12.7109375" bestFit="1" customWidth="1"/>
    <col min="6" max="6" width="6.28515625" bestFit="1" customWidth="1"/>
    <col min="7" max="7" width="12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x14ac:dyDescent="0.25">
      <c r="A2" t="s">
        <v>1411</v>
      </c>
      <c r="B2" t="s">
        <v>1412</v>
      </c>
      <c r="C2" t="s">
        <v>1413</v>
      </c>
      <c r="D2" t="s">
        <v>1414</v>
      </c>
      <c r="E2" t="s">
        <v>1415</v>
      </c>
      <c r="F2" t="s">
        <v>891</v>
      </c>
      <c r="G2" t="s">
        <v>891</v>
      </c>
    </row>
    <row r="3" spans="1:7" x14ac:dyDescent="0.25">
      <c r="A3" t="s">
        <v>1416</v>
      </c>
      <c r="B3" t="s">
        <v>1417</v>
      </c>
      <c r="C3" t="s">
        <v>1413</v>
      </c>
      <c r="D3" t="s">
        <v>1418</v>
      </c>
      <c r="E3" t="s">
        <v>1419</v>
      </c>
      <c r="F3" t="s">
        <v>891</v>
      </c>
      <c r="G3" t="s">
        <v>891</v>
      </c>
    </row>
    <row r="4" spans="1:7" x14ac:dyDescent="0.25">
      <c r="A4" t="s">
        <v>1420</v>
      </c>
      <c r="B4" t="s">
        <v>1421</v>
      </c>
      <c r="C4" t="s">
        <v>1413</v>
      </c>
      <c r="D4" t="s">
        <v>1422</v>
      </c>
      <c r="E4" t="s">
        <v>1423</v>
      </c>
      <c r="F4" t="s">
        <v>891</v>
      </c>
      <c r="G4" t="s">
        <v>891</v>
      </c>
    </row>
    <row r="5" spans="1:7" x14ac:dyDescent="0.25">
      <c r="A5" t="s">
        <v>1424</v>
      </c>
      <c r="B5" t="s">
        <v>1425</v>
      </c>
      <c r="C5" t="s">
        <v>1413</v>
      </c>
      <c r="D5" t="s">
        <v>1426</v>
      </c>
      <c r="E5" t="s">
        <v>1427</v>
      </c>
      <c r="F5" t="s">
        <v>891</v>
      </c>
      <c r="G5" t="s">
        <v>891</v>
      </c>
    </row>
    <row r="6" spans="1:7" x14ac:dyDescent="0.25">
      <c r="A6" t="s">
        <v>1428</v>
      </c>
      <c r="B6" t="s">
        <v>1429</v>
      </c>
      <c r="C6" t="s">
        <v>1430</v>
      </c>
      <c r="D6" t="s">
        <v>891</v>
      </c>
      <c r="E6" t="s">
        <v>891</v>
      </c>
      <c r="F6" t="s">
        <v>891</v>
      </c>
      <c r="G6" t="s">
        <v>891</v>
      </c>
    </row>
    <row r="7" spans="1:7" x14ac:dyDescent="0.25">
      <c r="A7" t="s">
        <v>1221</v>
      </c>
      <c r="B7" t="s">
        <v>1222</v>
      </c>
      <c r="C7" t="s">
        <v>1223</v>
      </c>
      <c r="D7" t="s">
        <v>891</v>
      </c>
      <c r="E7" t="s">
        <v>891</v>
      </c>
      <c r="F7" t="s">
        <v>891</v>
      </c>
      <c r="G7" t="s">
        <v>891</v>
      </c>
    </row>
    <row r="8" spans="1:7" x14ac:dyDescent="0.25">
      <c r="A8" t="s">
        <v>1224</v>
      </c>
      <c r="B8" t="s">
        <v>1225</v>
      </c>
      <c r="C8" t="s">
        <v>1223</v>
      </c>
      <c r="D8" t="s">
        <v>891</v>
      </c>
      <c r="E8" t="s">
        <v>891</v>
      </c>
      <c r="F8" t="s">
        <v>891</v>
      </c>
      <c r="G8" t="s">
        <v>891</v>
      </c>
    </row>
    <row r="9" spans="1:7" x14ac:dyDescent="0.25">
      <c r="A9" t="s">
        <v>1431</v>
      </c>
      <c r="B9" t="s">
        <v>1432</v>
      </c>
      <c r="C9" t="s">
        <v>1430</v>
      </c>
      <c r="D9" t="s">
        <v>891</v>
      </c>
      <c r="E9" t="s">
        <v>891</v>
      </c>
      <c r="F9" t="s">
        <v>891</v>
      </c>
      <c r="G9" t="s">
        <v>891</v>
      </c>
    </row>
    <row r="10" spans="1:7" x14ac:dyDescent="0.25">
      <c r="A10" t="s">
        <v>1433</v>
      </c>
      <c r="B10" t="s">
        <v>1434</v>
      </c>
      <c r="C10" t="s">
        <v>1430</v>
      </c>
      <c r="D10" t="s">
        <v>1434</v>
      </c>
      <c r="E10" t="s">
        <v>1435</v>
      </c>
      <c r="F10" t="s">
        <v>891</v>
      </c>
      <c r="G10" t="s">
        <v>891</v>
      </c>
    </row>
    <row r="11" spans="1:7" x14ac:dyDescent="0.25">
      <c r="A11" t="s">
        <v>906</v>
      </c>
      <c r="B11" t="s">
        <v>1349</v>
      </c>
      <c r="C11" t="s">
        <v>1348</v>
      </c>
      <c r="D11" t="s">
        <v>1349</v>
      </c>
      <c r="E11" t="s">
        <v>647</v>
      </c>
      <c r="F11" t="s">
        <v>891</v>
      </c>
      <c r="G11" t="s">
        <v>891</v>
      </c>
    </row>
    <row r="12" spans="1:7" x14ac:dyDescent="0.25">
      <c r="A12" t="s">
        <v>1354</v>
      </c>
      <c r="B12" t="s">
        <v>1355</v>
      </c>
      <c r="C12" t="s">
        <v>1356</v>
      </c>
      <c r="D12" t="s">
        <v>1355</v>
      </c>
      <c r="E12" t="s">
        <v>1357</v>
      </c>
      <c r="F12" t="s">
        <v>891</v>
      </c>
      <c r="G12" t="s">
        <v>891</v>
      </c>
    </row>
    <row r="13" spans="1:7" x14ac:dyDescent="0.25">
      <c r="A13" t="s">
        <v>909</v>
      </c>
      <c r="B13" t="s">
        <v>528</v>
      </c>
      <c r="C13" t="s">
        <v>920</v>
      </c>
      <c r="D13" t="s">
        <v>528</v>
      </c>
      <c r="E13" t="s">
        <v>509</v>
      </c>
      <c r="F13" t="s">
        <v>891</v>
      </c>
      <c r="G13" t="s">
        <v>891</v>
      </c>
    </row>
    <row r="14" spans="1:7" x14ac:dyDescent="0.25">
      <c r="A14" t="s">
        <v>910</v>
      </c>
      <c r="B14" t="s">
        <v>529</v>
      </c>
      <c r="C14" t="s">
        <v>920</v>
      </c>
      <c r="D14" t="s">
        <v>529</v>
      </c>
      <c r="E14" t="s">
        <v>510</v>
      </c>
      <c r="F14" t="s">
        <v>891</v>
      </c>
      <c r="G14" t="s">
        <v>891</v>
      </c>
    </row>
    <row r="15" spans="1:7" x14ac:dyDescent="0.25">
      <c r="A15" t="s">
        <v>1383</v>
      </c>
      <c r="B15" t="s">
        <v>1436</v>
      </c>
      <c r="C15" t="s">
        <v>1385</v>
      </c>
      <c r="D15" t="s">
        <v>891</v>
      </c>
      <c r="E15" t="s">
        <v>891</v>
      </c>
      <c r="F15" t="s">
        <v>891</v>
      </c>
      <c r="G15" t="s">
        <v>891</v>
      </c>
    </row>
    <row r="16" spans="1:7" x14ac:dyDescent="0.25">
      <c r="A16" t="s">
        <v>1386</v>
      </c>
      <c r="B16" t="s">
        <v>1437</v>
      </c>
      <c r="C16" t="s">
        <v>1385</v>
      </c>
      <c r="D16" t="s">
        <v>891</v>
      </c>
      <c r="E16" t="s">
        <v>891</v>
      </c>
      <c r="F16" t="s">
        <v>891</v>
      </c>
      <c r="G16" t="s">
        <v>891</v>
      </c>
    </row>
    <row r="17" spans="1:7" x14ac:dyDescent="0.25">
      <c r="A17" t="s">
        <v>1388</v>
      </c>
      <c r="B17" t="s">
        <v>1438</v>
      </c>
      <c r="C17" t="s">
        <v>1385</v>
      </c>
      <c r="D17" t="s">
        <v>891</v>
      </c>
      <c r="E17" t="s">
        <v>891</v>
      </c>
      <c r="F17" t="s">
        <v>891</v>
      </c>
      <c r="G17" t="s">
        <v>891</v>
      </c>
    </row>
    <row r="18" spans="1:7" x14ac:dyDescent="0.25">
      <c r="A18" t="s">
        <v>1390</v>
      </c>
      <c r="B18" t="s">
        <v>1439</v>
      </c>
      <c r="C18" t="s">
        <v>1385</v>
      </c>
      <c r="D18" t="s">
        <v>891</v>
      </c>
      <c r="E18" t="s">
        <v>891</v>
      </c>
      <c r="F18" t="s">
        <v>891</v>
      </c>
      <c r="G18" t="s">
        <v>891</v>
      </c>
    </row>
    <row r="19" spans="1:7" x14ac:dyDescent="0.25">
      <c r="A19" t="s">
        <v>969</v>
      </c>
      <c r="B19" t="s">
        <v>970</v>
      </c>
      <c r="C19" t="s">
        <v>971</v>
      </c>
      <c r="D19" t="s">
        <v>891</v>
      </c>
      <c r="E19" t="s">
        <v>891</v>
      </c>
      <c r="F19" t="s">
        <v>891</v>
      </c>
      <c r="G19" t="s">
        <v>891</v>
      </c>
    </row>
    <row r="20" spans="1:7" x14ac:dyDescent="0.25">
      <c r="A20" t="s">
        <v>972</v>
      </c>
      <c r="B20" t="s">
        <v>973</v>
      </c>
      <c r="C20" t="s">
        <v>974</v>
      </c>
      <c r="D20" t="s">
        <v>973</v>
      </c>
      <c r="E20" t="s">
        <v>975</v>
      </c>
      <c r="F20" t="s">
        <v>891</v>
      </c>
      <c r="G20" t="s">
        <v>891</v>
      </c>
    </row>
    <row r="21" spans="1:7" x14ac:dyDescent="0.25">
      <c r="A21" t="s">
        <v>993</v>
      </c>
      <c r="B21" t="s">
        <v>994</v>
      </c>
      <c r="C21" t="s">
        <v>1403</v>
      </c>
      <c r="D21" t="s">
        <v>891</v>
      </c>
      <c r="E21" t="s">
        <v>891</v>
      </c>
      <c r="F21" t="s">
        <v>891</v>
      </c>
      <c r="G21" t="s">
        <v>891</v>
      </c>
    </row>
    <row r="22" spans="1:7" x14ac:dyDescent="0.25">
      <c r="A22" t="s">
        <v>1006</v>
      </c>
      <c r="B22" t="s">
        <v>1007</v>
      </c>
      <c r="C22" t="s">
        <v>1008</v>
      </c>
      <c r="D22" t="s">
        <v>1007</v>
      </c>
      <c r="E22" t="s">
        <v>1009</v>
      </c>
      <c r="F22" t="s">
        <v>891</v>
      </c>
      <c r="G22" t="s">
        <v>891</v>
      </c>
    </row>
    <row r="23" spans="1:7" x14ac:dyDescent="0.25">
      <c r="A23" t="s">
        <v>1018</v>
      </c>
      <c r="B23" t="s">
        <v>1019</v>
      </c>
      <c r="C23" t="s">
        <v>960</v>
      </c>
      <c r="D23" t="s">
        <v>891</v>
      </c>
      <c r="E23" t="s">
        <v>891</v>
      </c>
      <c r="F23" t="s">
        <v>891</v>
      </c>
      <c r="G23" t="s">
        <v>891</v>
      </c>
    </row>
    <row r="24" spans="1:7" x14ac:dyDescent="0.25">
      <c r="A24" t="s">
        <v>1440</v>
      </c>
      <c r="B24" t="s">
        <v>1441</v>
      </c>
      <c r="C24" t="s">
        <v>1442</v>
      </c>
      <c r="D24" t="s">
        <v>891</v>
      </c>
      <c r="E24" t="s">
        <v>891</v>
      </c>
      <c r="F24" t="s">
        <v>891</v>
      </c>
      <c r="G24" t="s">
        <v>891</v>
      </c>
    </row>
    <row r="25" spans="1:7" x14ac:dyDescent="0.25">
      <c r="A25" t="s">
        <v>1443</v>
      </c>
      <c r="B25" t="s">
        <v>1444</v>
      </c>
      <c r="C25" t="s">
        <v>1442</v>
      </c>
      <c r="D25" t="s">
        <v>891</v>
      </c>
      <c r="E25" t="s">
        <v>891</v>
      </c>
      <c r="F25" t="s">
        <v>891</v>
      </c>
      <c r="G25" t="s">
        <v>891</v>
      </c>
    </row>
    <row r="26" spans="1:7" x14ac:dyDescent="0.25">
      <c r="A26" t="s">
        <v>1028</v>
      </c>
      <c r="B26" t="s">
        <v>1029</v>
      </c>
      <c r="C26" t="s">
        <v>1131</v>
      </c>
      <c r="D26" t="s">
        <v>1029</v>
      </c>
      <c r="E26" t="s">
        <v>1031</v>
      </c>
      <c r="F26" t="s">
        <v>891</v>
      </c>
      <c r="G26" t="s">
        <v>891</v>
      </c>
    </row>
    <row r="27" spans="1:7" x14ac:dyDescent="0.25">
      <c r="A27" t="s">
        <v>1032</v>
      </c>
      <c r="B27" t="s">
        <v>1033</v>
      </c>
      <c r="C27" t="s">
        <v>1131</v>
      </c>
      <c r="D27" t="s">
        <v>1033</v>
      </c>
      <c r="E27" t="s">
        <v>1034</v>
      </c>
      <c r="F27" t="s">
        <v>891</v>
      </c>
      <c r="G27" t="s">
        <v>891</v>
      </c>
    </row>
    <row r="28" spans="1:7" x14ac:dyDescent="0.25">
      <c r="A28" t="s">
        <v>1265</v>
      </c>
      <c r="B28" t="s">
        <v>1339</v>
      </c>
      <c r="C28" t="s">
        <v>1197</v>
      </c>
      <c r="D28" t="s">
        <v>891</v>
      </c>
      <c r="E28" t="s">
        <v>891</v>
      </c>
      <c r="F28" t="s">
        <v>891</v>
      </c>
      <c r="G28" t="s">
        <v>891</v>
      </c>
    </row>
    <row r="29" spans="1:7" x14ac:dyDescent="0.25">
      <c r="A29" t="s">
        <v>1267</v>
      </c>
      <c r="B29" t="s">
        <v>1340</v>
      </c>
      <c r="C29" t="s">
        <v>1197</v>
      </c>
      <c r="D29" t="s">
        <v>891</v>
      </c>
      <c r="E29" t="s">
        <v>891</v>
      </c>
      <c r="F29" t="s">
        <v>891</v>
      </c>
      <c r="G29" t="s">
        <v>891</v>
      </c>
    </row>
    <row r="30" spans="1:7" x14ac:dyDescent="0.25">
      <c r="A30" t="s">
        <v>1038</v>
      </c>
      <c r="B30" t="s">
        <v>1039</v>
      </c>
      <c r="C30" t="s">
        <v>1408</v>
      </c>
      <c r="D30" t="s">
        <v>1039</v>
      </c>
      <c r="E30" t="s">
        <v>1040</v>
      </c>
      <c r="F30" t="s">
        <v>891</v>
      </c>
      <c r="G30" t="s">
        <v>891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zoomScale="85" zoomScaleNormal="85" workbookViewId="0">
      <selection activeCell="B25" sqref="B25"/>
    </sheetView>
  </sheetViews>
  <sheetFormatPr defaultRowHeight="15" x14ac:dyDescent="0.25"/>
  <cols>
    <col min="1" max="1" width="16" bestFit="1" customWidth="1"/>
    <col min="2" max="2" width="32.42578125" bestFit="1" customWidth="1"/>
    <col min="3" max="3" width="110" bestFit="1" customWidth="1"/>
    <col min="4" max="4" width="32.42578125" bestFit="1" customWidth="1"/>
    <col min="5" max="5" width="12.7109375" bestFit="1" customWidth="1"/>
    <col min="6" max="6" width="17.28515625" bestFit="1" customWidth="1"/>
    <col min="7" max="7" width="12.42578125" bestFit="1" customWidth="1"/>
  </cols>
  <sheetData>
    <row r="1" spans="1:7" x14ac:dyDescent="0.25">
      <c r="A1" t="s">
        <v>887</v>
      </c>
      <c r="B1" t="s">
        <v>888</v>
      </c>
      <c r="C1" t="s">
        <v>332</v>
      </c>
      <c r="D1" t="s">
        <v>1077</v>
      </c>
      <c r="E1" t="s">
        <v>1</v>
      </c>
      <c r="F1" t="s">
        <v>60</v>
      </c>
      <c r="G1" t="s">
        <v>396</v>
      </c>
    </row>
    <row r="2" spans="1:7" s="3" customFormat="1" x14ac:dyDescent="0.25">
      <c r="A2" s="3" t="s">
        <v>1445</v>
      </c>
      <c r="B2" s="3" t="s">
        <v>1446</v>
      </c>
      <c r="C2" s="3" t="s">
        <v>1447</v>
      </c>
      <c r="D2" s="3" t="s">
        <v>1446</v>
      </c>
      <c r="E2" s="3" t="s">
        <v>1448</v>
      </c>
      <c r="F2" s="3" t="s">
        <v>679</v>
      </c>
      <c r="G2" s="3" t="s">
        <v>311</v>
      </c>
    </row>
    <row r="3" spans="1:7" s="3" customFormat="1" x14ac:dyDescent="0.25">
      <c r="A3" s="3" t="s">
        <v>1449</v>
      </c>
      <c r="B3" s="3" t="s">
        <v>1450</v>
      </c>
      <c r="C3" s="3" t="s">
        <v>1451</v>
      </c>
      <c r="D3" s="3" t="s">
        <v>1450</v>
      </c>
      <c r="E3" s="3" t="s">
        <v>1452</v>
      </c>
      <c r="F3" s="3" t="s">
        <v>679</v>
      </c>
      <c r="G3" s="3" t="s">
        <v>311</v>
      </c>
    </row>
    <row r="4" spans="1:7" s="3" customFormat="1" x14ac:dyDescent="0.25">
      <c r="A4" s="3" t="s">
        <v>1453</v>
      </c>
      <c r="B4" s="3" t="s">
        <v>1454</v>
      </c>
      <c r="C4" s="3" t="s">
        <v>1451</v>
      </c>
      <c r="D4" s="3" t="s">
        <v>1454</v>
      </c>
      <c r="E4" s="3" t="s">
        <v>1455</v>
      </c>
      <c r="F4" s="3" t="s">
        <v>679</v>
      </c>
      <c r="G4" s="3" t="s">
        <v>311</v>
      </c>
    </row>
    <row r="5" spans="1:7" s="3" customFormat="1" x14ac:dyDescent="0.25">
      <c r="A5" s="3" t="s">
        <v>1456</v>
      </c>
      <c r="B5" s="3" t="s">
        <v>1457</v>
      </c>
      <c r="C5" s="3" t="s">
        <v>1451</v>
      </c>
      <c r="D5" s="3" t="s">
        <v>1457</v>
      </c>
      <c r="E5" s="3" t="s">
        <v>1458</v>
      </c>
      <c r="F5" s="3" t="s">
        <v>679</v>
      </c>
      <c r="G5" s="3" t="s">
        <v>311</v>
      </c>
    </row>
    <row r="6" spans="1:7" x14ac:dyDescent="0.25">
      <c r="A6" t="s">
        <v>897</v>
      </c>
      <c r="B6" t="s">
        <v>285</v>
      </c>
      <c r="C6" t="s">
        <v>1459</v>
      </c>
      <c r="D6" t="s">
        <v>285</v>
      </c>
      <c r="E6" t="s">
        <v>17</v>
      </c>
      <c r="F6" t="s">
        <v>891</v>
      </c>
      <c r="G6" t="s">
        <v>891</v>
      </c>
    </row>
    <row r="7" spans="1:7" s="3" customFormat="1" x14ac:dyDescent="0.25">
      <c r="A7" s="3" t="s">
        <v>1460</v>
      </c>
      <c r="B7" s="3" t="s">
        <v>1461</v>
      </c>
      <c r="C7" s="3" t="s">
        <v>1451</v>
      </c>
      <c r="D7" s="3" t="s">
        <v>891</v>
      </c>
      <c r="E7" s="3" t="s">
        <v>891</v>
      </c>
      <c r="F7" s="3" t="s">
        <v>85</v>
      </c>
      <c r="G7" s="3" t="s">
        <v>311</v>
      </c>
    </row>
    <row r="8" spans="1:7" s="3" customFormat="1" x14ac:dyDescent="0.25">
      <c r="A8" s="3" t="s">
        <v>1462</v>
      </c>
      <c r="B8" s="3" t="s">
        <v>1463</v>
      </c>
      <c r="C8" s="3" t="s">
        <v>1413</v>
      </c>
      <c r="D8" s="3" t="s">
        <v>1463</v>
      </c>
      <c r="E8" s="3" t="s">
        <v>1464</v>
      </c>
      <c r="F8" s="3" t="s">
        <v>679</v>
      </c>
      <c r="G8" s="3" t="s">
        <v>311</v>
      </c>
    </row>
    <row r="9" spans="1:7" s="3" customFormat="1" x14ac:dyDescent="0.25">
      <c r="A9" s="3" t="s">
        <v>1465</v>
      </c>
      <c r="B9" s="3" t="s">
        <v>1466</v>
      </c>
      <c r="C9" s="3" t="s">
        <v>1413</v>
      </c>
      <c r="D9" s="3" t="s">
        <v>1466</v>
      </c>
      <c r="E9" s="3" t="s">
        <v>1467</v>
      </c>
      <c r="F9" s="3" t="s">
        <v>679</v>
      </c>
      <c r="G9" s="3" t="s">
        <v>311</v>
      </c>
    </row>
    <row r="10" spans="1:7" s="3" customFormat="1" x14ac:dyDescent="0.25">
      <c r="A10" s="3" t="s">
        <v>1468</v>
      </c>
      <c r="B10" s="3" t="s">
        <v>1469</v>
      </c>
      <c r="C10" s="3" t="s">
        <v>1413</v>
      </c>
      <c r="D10" s="3" t="s">
        <v>1469</v>
      </c>
      <c r="E10" s="3" t="s">
        <v>1470</v>
      </c>
      <c r="F10" s="3" t="s">
        <v>679</v>
      </c>
      <c r="G10" s="3" t="s">
        <v>311</v>
      </c>
    </row>
    <row r="11" spans="1:7" s="3" customFormat="1" x14ac:dyDescent="0.25">
      <c r="A11" s="3" t="s">
        <v>1471</v>
      </c>
      <c r="B11" s="3" t="s">
        <v>1472</v>
      </c>
      <c r="C11" s="3" t="s">
        <v>1413</v>
      </c>
      <c r="D11" s="3" t="s">
        <v>1472</v>
      </c>
      <c r="E11" s="3" t="s">
        <v>1473</v>
      </c>
      <c r="F11" s="3" t="s">
        <v>679</v>
      </c>
      <c r="G11" s="3" t="s">
        <v>311</v>
      </c>
    </row>
    <row r="12" spans="1:7" s="3" customFormat="1" x14ac:dyDescent="0.25">
      <c r="A12" s="3" t="s">
        <v>1474</v>
      </c>
      <c r="B12" s="3" t="s">
        <v>1475</v>
      </c>
      <c r="C12" s="3" t="s">
        <v>1476</v>
      </c>
      <c r="D12" s="3" t="s">
        <v>891</v>
      </c>
      <c r="E12" s="3" t="s">
        <v>891</v>
      </c>
      <c r="F12" s="3" t="s">
        <v>85</v>
      </c>
      <c r="G12" s="3" t="s">
        <v>311</v>
      </c>
    </row>
    <row r="13" spans="1:7" s="3" customFormat="1" x14ac:dyDescent="0.25">
      <c r="A13" s="3" t="s">
        <v>1477</v>
      </c>
      <c r="B13" s="3" t="s">
        <v>1478</v>
      </c>
      <c r="C13" s="3" t="s">
        <v>1476</v>
      </c>
      <c r="D13" s="3" t="s">
        <v>891</v>
      </c>
      <c r="E13" s="3" t="s">
        <v>891</v>
      </c>
      <c r="F13" s="3" t="s">
        <v>85</v>
      </c>
      <c r="G13" s="3" t="s">
        <v>311</v>
      </c>
    </row>
    <row r="14" spans="1:7" s="3" customFormat="1" x14ac:dyDescent="0.25">
      <c r="A14" s="3" t="s">
        <v>1411</v>
      </c>
      <c r="B14" s="3" t="s">
        <v>1412</v>
      </c>
      <c r="C14" s="3" t="s">
        <v>1413</v>
      </c>
      <c r="D14" s="3" t="s">
        <v>1414</v>
      </c>
      <c r="E14" s="3" t="s">
        <v>1415</v>
      </c>
      <c r="F14" s="3" t="s">
        <v>679</v>
      </c>
      <c r="G14" s="3" t="s">
        <v>311</v>
      </c>
    </row>
    <row r="15" spans="1:7" s="3" customFormat="1" x14ac:dyDescent="0.25">
      <c r="A15" s="3" t="s">
        <v>1416</v>
      </c>
      <c r="B15" s="3" t="s">
        <v>1417</v>
      </c>
      <c r="C15" s="3" t="s">
        <v>1413</v>
      </c>
      <c r="D15" s="3" t="s">
        <v>1418</v>
      </c>
      <c r="E15" s="3" t="s">
        <v>1419</v>
      </c>
      <c r="F15" s="3" t="s">
        <v>679</v>
      </c>
      <c r="G15" s="3" t="s">
        <v>311</v>
      </c>
    </row>
    <row r="16" spans="1:7" s="3" customFormat="1" x14ac:dyDescent="0.25">
      <c r="A16" s="3" t="s">
        <v>1420</v>
      </c>
      <c r="B16" s="3" t="s">
        <v>1421</v>
      </c>
      <c r="C16" s="3" t="s">
        <v>1413</v>
      </c>
      <c r="D16" s="3" t="s">
        <v>1422</v>
      </c>
      <c r="E16" s="3" t="s">
        <v>1423</v>
      </c>
      <c r="F16" s="3" t="s">
        <v>679</v>
      </c>
      <c r="G16" s="3" t="s">
        <v>311</v>
      </c>
    </row>
    <row r="17" spans="1:7" s="3" customFormat="1" x14ac:dyDescent="0.25">
      <c r="A17" s="3" t="s">
        <v>1424</v>
      </c>
      <c r="B17" s="3" t="s">
        <v>1425</v>
      </c>
      <c r="C17" s="3" t="s">
        <v>1413</v>
      </c>
      <c r="D17" s="3" t="s">
        <v>1426</v>
      </c>
      <c r="E17" s="3" t="s">
        <v>1427</v>
      </c>
      <c r="F17" s="3" t="s">
        <v>679</v>
      </c>
      <c r="G17" s="3" t="s">
        <v>311</v>
      </c>
    </row>
    <row r="18" spans="1:7" s="3" customFormat="1" x14ac:dyDescent="0.25">
      <c r="A18" s="3" t="s">
        <v>1479</v>
      </c>
      <c r="B18" s="3" t="s">
        <v>1480</v>
      </c>
      <c r="C18" s="3" t="s">
        <v>1481</v>
      </c>
      <c r="D18" s="3" t="s">
        <v>1482</v>
      </c>
      <c r="E18" s="3" t="s">
        <v>1483</v>
      </c>
      <c r="F18" s="3" t="s">
        <v>679</v>
      </c>
      <c r="G18" s="3" t="s">
        <v>311</v>
      </c>
    </row>
    <row r="19" spans="1:7" s="3" customFormat="1" x14ac:dyDescent="0.25">
      <c r="A19" s="3" t="s">
        <v>1428</v>
      </c>
      <c r="B19" s="3" t="s">
        <v>1429</v>
      </c>
      <c r="C19" s="3" t="s">
        <v>1430</v>
      </c>
      <c r="D19" s="3" t="s">
        <v>891</v>
      </c>
      <c r="E19" s="3" t="s">
        <v>891</v>
      </c>
      <c r="F19" s="3" t="s">
        <v>85</v>
      </c>
      <c r="G19" s="3" t="s">
        <v>311</v>
      </c>
    </row>
    <row r="20" spans="1:7" s="3" customFormat="1" x14ac:dyDescent="0.25">
      <c r="A20" s="3" t="s">
        <v>1221</v>
      </c>
      <c r="B20" s="3" t="s">
        <v>1222</v>
      </c>
      <c r="C20" s="3" t="s">
        <v>1223</v>
      </c>
      <c r="D20" s="3" t="s">
        <v>891</v>
      </c>
      <c r="E20" s="3" t="s">
        <v>891</v>
      </c>
      <c r="F20" s="3" t="s">
        <v>85</v>
      </c>
      <c r="G20" s="3" t="s">
        <v>311</v>
      </c>
    </row>
    <row r="21" spans="1:7" s="3" customFormat="1" x14ac:dyDescent="0.25">
      <c r="A21" s="3" t="s">
        <v>1224</v>
      </c>
      <c r="B21" s="3" t="s">
        <v>1225</v>
      </c>
      <c r="C21" s="3" t="s">
        <v>1223</v>
      </c>
      <c r="D21" s="3" t="s">
        <v>891</v>
      </c>
      <c r="E21" s="3" t="s">
        <v>891</v>
      </c>
      <c r="F21" s="3" t="s">
        <v>85</v>
      </c>
      <c r="G21" s="3" t="s">
        <v>311</v>
      </c>
    </row>
    <row r="22" spans="1:7" s="3" customFormat="1" x14ac:dyDescent="0.25">
      <c r="A22" s="3" t="s">
        <v>1431</v>
      </c>
      <c r="B22" s="3" t="s">
        <v>1432</v>
      </c>
      <c r="C22" s="3" t="s">
        <v>1430</v>
      </c>
      <c r="D22" s="3" t="s">
        <v>891</v>
      </c>
      <c r="E22" s="3" t="s">
        <v>1540</v>
      </c>
      <c r="F22" s="3" t="s">
        <v>679</v>
      </c>
      <c r="G22" s="3" t="s">
        <v>311</v>
      </c>
    </row>
    <row r="23" spans="1:7" s="3" customFormat="1" x14ac:dyDescent="0.25">
      <c r="A23" s="3" t="s">
        <v>1433</v>
      </c>
      <c r="B23" s="3" t="s">
        <v>1434</v>
      </c>
      <c r="C23" s="3" t="s">
        <v>1430</v>
      </c>
      <c r="D23" s="3" t="s">
        <v>1434</v>
      </c>
      <c r="E23" s="3" t="s">
        <v>1435</v>
      </c>
      <c r="F23" s="3" t="s">
        <v>679</v>
      </c>
      <c r="G23" s="3" t="s">
        <v>311</v>
      </c>
    </row>
    <row r="24" spans="1:7" x14ac:dyDescent="0.25">
      <c r="A24" t="s">
        <v>906</v>
      </c>
      <c r="B24" t="s">
        <v>1349</v>
      </c>
      <c r="C24" t="s">
        <v>1348</v>
      </c>
      <c r="D24" t="s">
        <v>1349</v>
      </c>
      <c r="E24" t="s">
        <v>647</v>
      </c>
      <c r="F24" t="s">
        <v>891</v>
      </c>
      <c r="G24" t="s">
        <v>891</v>
      </c>
    </row>
    <row r="25" spans="1:7" x14ac:dyDescent="0.25">
      <c r="A25" t="s">
        <v>1354</v>
      </c>
      <c r="B25" t="s">
        <v>1355</v>
      </c>
      <c r="C25" t="s">
        <v>1484</v>
      </c>
      <c r="D25" t="s">
        <v>1355</v>
      </c>
      <c r="E25" t="s">
        <v>1357</v>
      </c>
      <c r="F25" t="s">
        <v>891</v>
      </c>
      <c r="G25" t="s">
        <v>891</v>
      </c>
    </row>
    <row r="26" spans="1:7" s="3" customFormat="1" x14ac:dyDescent="0.25">
      <c r="A26" s="3" t="s">
        <v>1485</v>
      </c>
      <c r="B26" s="3" t="s">
        <v>1486</v>
      </c>
      <c r="C26" s="3" t="s">
        <v>1476</v>
      </c>
      <c r="D26" s="3" t="s">
        <v>1487</v>
      </c>
      <c r="E26" s="3" t="s">
        <v>1488</v>
      </c>
      <c r="F26" s="3" t="s">
        <v>679</v>
      </c>
      <c r="G26" s="3" t="s">
        <v>311</v>
      </c>
    </row>
    <row r="27" spans="1:7" s="3" customFormat="1" x14ac:dyDescent="0.25">
      <c r="A27" s="3" t="s">
        <v>1489</v>
      </c>
      <c r="B27" s="3" t="s">
        <v>1490</v>
      </c>
      <c r="C27" s="3" t="s">
        <v>1491</v>
      </c>
      <c r="D27" s="3" t="s">
        <v>1492</v>
      </c>
      <c r="E27" s="3" t="s">
        <v>1493</v>
      </c>
      <c r="F27" s="3" t="s">
        <v>679</v>
      </c>
      <c r="G27" s="3" t="s">
        <v>311</v>
      </c>
    </row>
    <row r="28" spans="1:7" s="3" customFormat="1" x14ac:dyDescent="0.25">
      <c r="A28" s="3" t="s">
        <v>1494</v>
      </c>
      <c r="B28" s="3" t="s">
        <v>1495</v>
      </c>
      <c r="C28" s="3" t="s">
        <v>1491</v>
      </c>
      <c r="D28" s="3" t="s">
        <v>1496</v>
      </c>
      <c r="E28" s="3" t="s">
        <v>1497</v>
      </c>
      <c r="F28" s="3" t="s">
        <v>679</v>
      </c>
      <c r="G28" s="3" t="s">
        <v>311</v>
      </c>
    </row>
    <row r="29" spans="1:7" s="3" customFormat="1" x14ac:dyDescent="0.25">
      <c r="A29" s="3" t="s">
        <v>1498</v>
      </c>
      <c r="B29" s="3" t="s">
        <v>1499</v>
      </c>
      <c r="C29" s="3" t="s">
        <v>1500</v>
      </c>
      <c r="D29" s="3" t="s">
        <v>891</v>
      </c>
      <c r="E29" s="3" t="s">
        <v>891</v>
      </c>
      <c r="F29" s="3" t="s">
        <v>85</v>
      </c>
      <c r="G29" s="3" t="s">
        <v>311</v>
      </c>
    </row>
    <row r="30" spans="1:7" s="3" customFormat="1" x14ac:dyDescent="0.25">
      <c r="A30" s="3" t="s">
        <v>1501</v>
      </c>
      <c r="B30" s="3" t="s">
        <v>1502</v>
      </c>
      <c r="C30" s="3" t="s">
        <v>1503</v>
      </c>
      <c r="D30" s="3" t="s">
        <v>891</v>
      </c>
      <c r="E30" s="3" t="s">
        <v>891</v>
      </c>
      <c r="F30" s="3" t="s">
        <v>85</v>
      </c>
      <c r="G30" s="3" t="s">
        <v>311</v>
      </c>
    </row>
    <row r="31" spans="1:7" s="3" customFormat="1" x14ac:dyDescent="0.25">
      <c r="A31" s="3" t="s">
        <v>1504</v>
      </c>
      <c r="B31" s="3" t="s">
        <v>1505</v>
      </c>
      <c r="C31" s="3" t="s">
        <v>1503</v>
      </c>
      <c r="D31" s="3" t="s">
        <v>891</v>
      </c>
      <c r="E31" s="3" t="s">
        <v>891</v>
      </c>
      <c r="F31" s="3" t="s">
        <v>85</v>
      </c>
      <c r="G31" s="3" t="s">
        <v>311</v>
      </c>
    </row>
    <row r="32" spans="1:7" s="3" customFormat="1" x14ac:dyDescent="0.25">
      <c r="A32" s="3" t="s">
        <v>1506</v>
      </c>
      <c r="B32" s="3" t="s">
        <v>1507</v>
      </c>
      <c r="C32" s="3" t="s">
        <v>1503</v>
      </c>
      <c r="D32" s="3" t="s">
        <v>891</v>
      </c>
      <c r="E32" s="3" t="s">
        <v>891</v>
      </c>
      <c r="F32" s="3" t="s">
        <v>891</v>
      </c>
      <c r="G32" s="3" t="s">
        <v>891</v>
      </c>
    </row>
    <row r="33" spans="1:7" s="3" customFormat="1" x14ac:dyDescent="0.25">
      <c r="A33" s="3" t="s">
        <v>1508</v>
      </c>
      <c r="B33" s="3" t="s">
        <v>1509</v>
      </c>
      <c r="C33" s="3" t="s">
        <v>1491</v>
      </c>
      <c r="D33" s="3" t="s">
        <v>1509</v>
      </c>
      <c r="E33" s="3" t="s">
        <v>1510</v>
      </c>
      <c r="F33" s="3" t="s">
        <v>679</v>
      </c>
      <c r="G33" s="3" t="s">
        <v>311</v>
      </c>
    </row>
    <row r="34" spans="1:7" s="3" customFormat="1" x14ac:dyDescent="0.25">
      <c r="A34" s="3" t="s">
        <v>1511</v>
      </c>
      <c r="B34" s="3" t="s">
        <v>1512</v>
      </c>
      <c r="C34" s="3" t="s">
        <v>1491</v>
      </c>
      <c r="D34" s="3" t="s">
        <v>1512</v>
      </c>
      <c r="E34" s="3" t="s">
        <v>1513</v>
      </c>
      <c r="F34" s="3" t="s">
        <v>679</v>
      </c>
      <c r="G34" s="3" t="s">
        <v>311</v>
      </c>
    </row>
    <row r="35" spans="1:7" x14ac:dyDescent="0.25">
      <c r="A35" t="s">
        <v>909</v>
      </c>
      <c r="B35" t="s">
        <v>528</v>
      </c>
      <c r="C35" t="s">
        <v>920</v>
      </c>
      <c r="D35" t="s">
        <v>528</v>
      </c>
      <c r="E35" t="s">
        <v>509</v>
      </c>
      <c r="F35" t="s">
        <v>891</v>
      </c>
      <c r="G35" t="s">
        <v>891</v>
      </c>
    </row>
    <row r="36" spans="1:7" x14ac:dyDescent="0.25">
      <c r="A36" t="s">
        <v>910</v>
      </c>
      <c r="B36" t="s">
        <v>529</v>
      </c>
      <c r="C36" t="s">
        <v>920</v>
      </c>
      <c r="D36" t="s">
        <v>529</v>
      </c>
      <c r="E36" t="s">
        <v>510</v>
      </c>
      <c r="F36" t="s">
        <v>891</v>
      </c>
      <c r="G36" t="s">
        <v>891</v>
      </c>
    </row>
    <row r="37" spans="1:7" s="3" customFormat="1" x14ac:dyDescent="0.25">
      <c r="A37" s="3" t="s">
        <v>1383</v>
      </c>
      <c r="B37" s="3" t="s">
        <v>1436</v>
      </c>
      <c r="C37" s="3" t="s">
        <v>1385</v>
      </c>
      <c r="D37" s="3" t="s">
        <v>891</v>
      </c>
      <c r="E37" s="3" t="s">
        <v>891</v>
      </c>
      <c r="F37" s="3" t="s">
        <v>85</v>
      </c>
      <c r="G37" s="3" t="s">
        <v>311</v>
      </c>
    </row>
    <row r="38" spans="1:7" s="3" customFormat="1" x14ac:dyDescent="0.25">
      <c r="A38" s="3" t="s">
        <v>1386</v>
      </c>
      <c r="B38" s="3" t="s">
        <v>1437</v>
      </c>
      <c r="C38" s="3" t="s">
        <v>1385</v>
      </c>
      <c r="D38" s="3" t="s">
        <v>891</v>
      </c>
      <c r="E38" s="3" t="s">
        <v>891</v>
      </c>
      <c r="F38" s="3" t="s">
        <v>85</v>
      </c>
      <c r="G38" s="3" t="s">
        <v>311</v>
      </c>
    </row>
    <row r="39" spans="1:7" s="3" customFormat="1" x14ac:dyDescent="0.25">
      <c r="A39" s="3" t="s">
        <v>1388</v>
      </c>
      <c r="B39" s="3" t="s">
        <v>1438</v>
      </c>
      <c r="C39" s="3" t="s">
        <v>1385</v>
      </c>
      <c r="D39" s="3" t="s">
        <v>891</v>
      </c>
      <c r="E39" s="3" t="s">
        <v>891</v>
      </c>
      <c r="F39" s="3" t="s">
        <v>85</v>
      </c>
      <c r="G39" s="3" t="s">
        <v>311</v>
      </c>
    </row>
    <row r="40" spans="1:7" s="3" customFormat="1" x14ac:dyDescent="0.25">
      <c r="A40" s="3" t="s">
        <v>1390</v>
      </c>
      <c r="B40" s="3" t="s">
        <v>1439</v>
      </c>
      <c r="C40" s="3" t="s">
        <v>1385</v>
      </c>
      <c r="D40" s="3" t="s">
        <v>891</v>
      </c>
      <c r="E40" s="3" t="s">
        <v>891</v>
      </c>
      <c r="F40" s="3" t="s">
        <v>85</v>
      </c>
      <c r="G40" s="3" t="s">
        <v>311</v>
      </c>
    </row>
    <row r="41" spans="1:7" x14ac:dyDescent="0.25">
      <c r="A41" t="s">
        <v>969</v>
      </c>
      <c r="B41" t="s">
        <v>970</v>
      </c>
      <c r="C41" t="s">
        <v>971</v>
      </c>
      <c r="D41" t="s">
        <v>891</v>
      </c>
      <c r="E41" t="s">
        <v>891</v>
      </c>
      <c r="F41" t="s">
        <v>891</v>
      </c>
      <c r="G41" t="s">
        <v>891</v>
      </c>
    </row>
    <row r="42" spans="1:7" x14ac:dyDescent="0.25">
      <c r="A42" t="s">
        <v>972</v>
      </c>
      <c r="B42" t="s">
        <v>973</v>
      </c>
      <c r="C42" t="s">
        <v>974</v>
      </c>
      <c r="D42" t="s">
        <v>973</v>
      </c>
      <c r="E42" t="s">
        <v>975</v>
      </c>
      <c r="F42" t="s">
        <v>891</v>
      </c>
      <c r="G42" t="s">
        <v>891</v>
      </c>
    </row>
    <row r="43" spans="1:7" s="3" customFormat="1" x14ac:dyDescent="0.25">
      <c r="A43" s="3" t="s">
        <v>1514</v>
      </c>
      <c r="B43" s="3" t="s">
        <v>1515</v>
      </c>
      <c r="C43" s="3" t="s">
        <v>1516</v>
      </c>
      <c r="D43" s="3" t="s">
        <v>891</v>
      </c>
      <c r="E43" s="3" t="s">
        <v>891</v>
      </c>
      <c r="F43" s="3" t="s">
        <v>85</v>
      </c>
      <c r="G43" s="3" t="s">
        <v>311</v>
      </c>
    </row>
    <row r="44" spans="1:7" s="3" customFormat="1" x14ac:dyDescent="0.25">
      <c r="A44" s="3" t="s">
        <v>1517</v>
      </c>
      <c r="B44" s="3" t="s">
        <v>1518</v>
      </c>
      <c r="C44" s="3" t="s">
        <v>1516</v>
      </c>
      <c r="D44" s="3" t="s">
        <v>891</v>
      </c>
      <c r="E44" s="3" t="s">
        <v>891</v>
      </c>
      <c r="F44" s="3" t="s">
        <v>85</v>
      </c>
      <c r="G44" s="3" t="s">
        <v>311</v>
      </c>
    </row>
    <row r="45" spans="1:7" s="3" customFormat="1" x14ac:dyDescent="0.25">
      <c r="A45" s="3" t="s">
        <v>1519</v>
      </c>
      <c r="B45" s="3" t="s">
        <v>1520</v>
      </c>
      <c r="C45" s="3" t="s">
        <v>1516</v>
      </c>
      <c r="D45" s="3" t="s">
        <v>891</v>
      </c>
      <c r="E45" s="3" t="s">
        <v>891</v>
      </c>
      <c r="F45" s="3" t="s">
        <v>85</v>
      </c>
      <c r="G45" s="3" t="s">
        <v>311</v>
      </c>
    </row>
    <row r="46" spans="1:7" s="3" customFormat="1" x14ac:dyDescent="0.25">
      <c r="A46" s="3" t="s">
        <v>1521</v>
      </c>
      <c r="B46" s="3" t="s">
        <v>1522</v>
      </c>
      <c r="C46" s="3" t="s">
        <v>1516</v>
      </c>
      <c r="D46" s="3" t="s">
        <v>891</v>
      </c>
      <c r="E46" s="3" t="s">
        <v>891</v>
      </c>
      <c r="F46" s="3" t="s">
        <v>85</v>
      </c>
      <c r="G46" s="3" t="s">
        <v>311</v>
      </c>
    </row>
    <row r="47" spans="1:7" s="3" customFormat="1" x14ac:dyDescent="0.25">
      <c r="A47" s="3" t="s">
        <v>1523</v>
      </c>
      <c r="B47" s="3" t="s">
        <v>1524</v>
      </c>
      <c r="C47" s="3" t="s">
        <v>1516</v>
      </c>
      <c r="D47" s="3" t="s">
        <v>891</v>
      </c>
      <c r="E47" s="3" t="s">
        <v>891</v>
      </c>
      <c r="F47" s="3" t="s">
        <v>85</v>
      </c>
      <c r="G47" s="3" t="s">
        <v>311</v>
      </c>
    </row>
    <row r="48" spans="1:7" s="3" customFormat="1" x14ac:dyDescent="0.25">
      <c r="A48" s="3" t="s">
        <v>1525</v>
      </c>
      <c r="B48" s="3" t="s">
        <v>1526</v>
      </c>
      <c r="C48" s="3" t="s">
        <v>1516</v>
      </c>
      <c r="D48" s="3" t="s">
        <v>891</v>
      </c>
      <c r="E48" s="3" t="s">
        <v>891</v>
      </c>
      <c r="F48" s="3" t="s">
        <v>85</v>
      </c>
      <c r="G48" s="3" t="s">
        <v>311</v>
      </c>
    </row>
    <row r="49" spans="1:7" s="3" customFormat="1" x14ac:dyDescent="0.25">
      <c r="A49" s="3" t="s">
        <v>1527</v>
      </c>
      <c r="B49" s="3" t="s">
        <v>1528</v>
      </c>
      <c r="C49" s="3" t="s">
        <v>1516</v>
      </c>
      <c r="D49" s="3" t="s">
        <v>891</v>
      </c>
      <c r="E49" s="3" t="s">
        <v>891</v>
      </c>
      <c r="F49" s="3" t="s">
        <v>85</v>
      </c>
      <c r="G49" s="3" t="s">
        <v>311</v>
      </c>
    </row>
    <row r="50" spans="1:7" s="3" customFormat="1" x14ac:dyDescent="0.25">
      <c r="A50" s="3" t="s">
        <v>1529</v>
      </c>
      <c r="B50" s="3" t="s">
        <v>1530</v>
      </c>
      <c r="C50" s="3" t="s">
        <v>1516</v>
      </c>
      <c r="D50" s="3" t="s">
        <v>891</v>
      </c>
      <c r="E50" s="3" t="s">
        <v>891</v>
      </c>
      <c r="F50" s="3" t="s">
        <v>679</v>
      </c>
      <c r="G50" s="3" t="s">
        <v>311</v>
      </c>
    </row>
    <row r="51" spans="1:7" s="3" customFormat="1" x14ac:dyDescent="0.25">
      <c r="A51" s="3" t="s">
        <v>1531</v>
      </c>
      <c r="B51" s="3" t="s">
        <v>1532</v>
      </c>
      <c r="C51" s="3" t="s">
        <v>1516</v>
      </c>
      <c r="D51" s="3" t="s">
        <v>891</v>
      </c>
      <c r="E51" s="3" t="s">
        <v>891</v>
      </c>
      <c r="F51" s="3" t="s">
        <v>679</v>
      </c>
      <c r="G51" s="3" t="s">
        <v>311</v>
      </c>
    </row>
    <row r="52" spans="1:7" s="3" customFormat="1" x14ac:dyDescent="0.25">
      <c r="A52" s="3" t="s">
        <v>1533</v>
      </c>
      <c r="B52" s="3" t="s">
        <v>1534</v>
      </c>
      <c r="C52" s="3" t="s">
        <v>1503</v>
      </c>
      <c r="D52" s="3" t="s">
        <v>891</v>
      </c>
      <c r="E52" s="3" t="s">
        <v>891</v>
      </c>
      <c r="F52" s="3" t="s">
        <v>679</v>
      </c>
      <c r="G52" s="3" t="s">
        <v>311</v>
      </c>
    </row>
    <row r="53" spans="1:7" x14ac:dyDescent="0.25">
      <c r="A53" t="s">
        <v>993</v>
      </c>
      <c r="B53" t="s">
        <v>994</v>
      </c>
      <c r="C53" t="s">
        <v>1535</v>
      </c>
      <c r="D53" t="s">
        <v>891</v>
      </c>
      <c r="E53" t="s">
        <v>891</v>
      </c>
      <c r="F53" t="s">
        <v>891</v>
      </c>
      <c r="G53" t="s">
        <v>891</v>
      </c>
    </row>
    <row r="54" spans="1:7" x14ac:dyDescent="0.25">
      <c r="A54" t="s">
        <v>1006</v>
      </c>
      <c r="B54" t="s">
        <v>1007</v>
      </c>
      <c r="C54" t="s">
        <v>1008</v>
      </c>
      <c r="D54" t="s">
        <v>1007</v>
      </c>
      <c r="E54" t="s">
        <v>1009</v>
      </c>
      <c r="F54" t="s">
        <v>891</v>
      </c>
      <c r="G54" t="s">
        <v>891</v>
      </c>
    </row>
    <row r="55" spans="1:7" s="3" customFormat="1" x14ac:dyDescent="0.25">
      <c r="A55" s="3" t="s">
        <v>1018</v>
      </c>
      <c r="B55" s="3" t="s">
        <v>1019</v>
      </c>
      <c r="C55" s="3" t="s">
        <v>960</v>
      </c>
      <c r="D55" s="3" t="s">
        <v>891</v>
      </c>
      <c r="E55" s="3" t="s">
        <v>891</v>
      </c>
      <c r="F55" s="3" t="s">
        <v>891</v>
      </c>
      <c r="G55" s="3" t="s">
        <v>311</v>
      </c>
    </row>
    <row r="56" spans="1:7" s="3" customFormat="1" x14ac:dyDescent="0.25">
      <c r="A56" s="3" t="s">
        <v>1536</v>
      </c>
      <c r="B56" s="3" t="s">
        <v>1537</v>
      </c>
      <c r="C56" s="3" t="s">
        <v>1538</v>
      </c>
      <c r="D56" s="3" t="s">
        <v>891</v>
      </c>
      <c r="E56" s="3" t="s">
        <v>891</v>
      </c>
      <c r="F56" s="3" t="s">
        <v>85</v>
      </c>
      <c r="G56" s="3" t="s">
        <v>311</v>
      </c>
    </row>
    <row r="57" spans="1:7" s="3" customFormat="1" x14ac:dyDescent="0.25">
      <c r="A57" s="3" t="s">
        <v>1440</v>
      </c>
      <c r="B57" s="3" t="s">
        <v>1441</v>
      </c>
      <c r="C57" s="3" t="s">
        <v>1442</v>
      </c>
      <c r="D57" s="3" t="s">
        <v>891</v>
      </c>
      <c r="E57" s="3" t="s">
        <v>891</v>
      </c>
      <c r="F57" s="3" t="s">
        <v>85</v>
      </c>
      <c r="G57" s="3" t="s">
        <v>311</v>
      </c>
    </row>
    <row r="58" spans="1:7" s="3" customFormat="1" x14ac:dyDescent="0.25">
      <c r="A58" s="3" t="s">
        <v>1443</v>
      </c>
      <c r="B58" s="3" t="s">
        <v>1444</v>
      </c>
      <c r="C58" s="3" t="s">
        <v>1442</v>
      </c>
      <c r="D58" s="3" t="s">
        <v>891</v>
      </c>
      <c r="E58" s="3" t="s">
        <v>891</v>
      </c>
      <c r="F58" s="3" t="s">
        <v>85</v>
      </c>
      <c r="G58" s="3" t="s">
        <v>311</v>
      </c>
    </row>
    <row r="59" spans="1:7" x14ac:dyDescent="0.25">
      <c r="A59" t="s">
        <v>1028</v>
      </c>
      <c r="B59" t="s">
        <v>1029</v>
      </c>
      <c r="C59" t="s">
        <v>1484</v>
      </c>
      <c r="D59" t="s">
        <v>1029</v>
      </c>
      <c r="E59" t="s">
        <v>1031</v>
      </c>
      <c r="F59" t="s">
        <v>891</v>
      </c>
      <c r="G59" t="s">
        <v>891</v>
      </c>
    </row>
    <row r="60" spans="1:7" x14ac:dyDescent="0.25">
      <c r="A60" t="s">
        <v>1032</v>
      </c>
      <c r="B60" t="s">
        <v>1033</v>
      </c>
      <c r="C60" t="s">
        <v>1484</v>
      </c>
      <c r="D60" t="s">
        <v>1033</v>
      </c>
      <c r="E60" t="s">
        <v>1034</v>
      </c>
      <c r="F60" t="s">
        <v>891</v>
      </c>
      <c r="G60" t="s">
        <v>891</v>
      </c>
    </row>
    <row r="61" spans="1:7" s="3" customFormat="1" x14ac:dyDescent="0.25">
      <c r="A61" s="3" t="s">
        <v>1265</v>
      </c>
      <c r="B61" s="3" t="s">
        <v>1339</v>
      </c>
      <c r="C61" s="3" t="s">
        <v>1197</v>
      </c>
      <c r="D61" s="3" t="s">
        <v>891</v>
      </c>
      <c r="E61" s="3" t="s">
        <v>891</v>
      </c>
      <c r="F61" s="3" t="s">
        <v>891</v>
      </c>
      <c r="G61" s="3" t="s">
        <v>311</v>
      </c>
    </row>
    <row r="62" spans="1:7" s="3" customFormat="1" x14ac:dyDescent="0.25">
      <c r="A62" s="3" t="s">
        <v>1267</v>
      </c>
      <c r="B62" s="3" t="s">
        <v>1340</v>
      </c>
      <c r="C62" s="3" t="s">
        <v>1197</v>
      </c>
      <c r="D62" s="3" t="s">
        <v>891</v>
      </c>
      <c r="E62" s="3" t="s">
        <v>891</v>
      </c>
      <c r="F62" s="3" t="s">
        <v>891</v>
      </c>
      <c r="G62" s="3" t="s">
        <v>311</v>
      </c>
    </row>
    <row r="63" spans="1:7" x14ac:dyDescent="0.25">
      <c r="A63" t="s">
        <v>1038</v>
      </c>
      <c r="B63" t="s">
        <v>1039</v>
      </c>
      <c r="C63" t="s">
        <v>1539</v>
      </c>
      <c r="D63" t="s">
        <v>1039</v>
      </c>
      <c r="E63" t="s">
        <v>1040</v>
      </c>
      <c r="F63" t="s">
        <v>891</v>
      </c>
      <c r="G63" t="s">
        <v>891</v>
      </c>
    </row>
  </sheetData>
  <autoFilter ref="A1:G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P7" sqref="P7"/>
    </sheetView>
  </sheetViews>
  <sheetFormatPr defaultRowHeight="15" x14ac:dyDescent="0.25"/>
  <sheetData>
    <row r="1" spans="1:14" ht="15.75" thickBot="1" x14ac:dyDescent="0.3">
      <c r="A1" s="27" t="s">
        <v>887</v>
      </c>
      <c r="B1" s="28" t="s">
        <v>888</v>
      </c>
      <c r="C1" s="29" t="s">
        <v>332</v>
      </c>
    </row>
    <row r="2" spans="1:14" ht="15.75" thickBot="1" x14ac:dyDescent="0.3">
      <c r="A2" s="30" t="s">
        <v>969</v>
      </c>
      <c r="B2" s="31" t="s">
        <v>970</v>
      </c>
      <c r="C2" s="32" t="s">
        <v>1274</v>
      </c>
    </row>
    <row r="3" spans="1:14" ht="15.75" thickBot="1" x14ac:dyDescent="0.3">
      <c r="A3" s="33" t="s">
        <v>908</v>
      </c>
      <c r="B3" s="34" t="s">
        <v>324</v>
      </c>
      <c r="C3" s="35" t="s">
        <v>380</v>
      </c>
    </row>
    <row r="4" spans="1:14" ht="15.75" thickBot="1" x14ac:dyDescent="0.3">
      <c r="A4" s="30" t="s">
        <v>1025</v>
      </c>
      <c r="B4" s="31" t="s">
        <v>1026</v>
      </c>
      <c r="C4" s="32" t="s">
        <v>1275</v>
      </c>
    </row>
    <row r="5" spans="1:14" ht="15.75" thickBot="1" x14ac:dyDescent="0.3">
      <c r="A5" s="33" t="s">
        <v>1023</v>
      </c>
      <c r="B5" s="34" t="s">
        <v>1024</v>
      </c>
      <c r="C5" s="35" t="s">
        <v>330</v>
      </c>
    </row>
    <row r="6" spans="1:14" ht="15.75" thickBot="1" x14ac:dyDescent="0.3">
      <c r="A6" s="30" t="s">
        <v>1035</v>
      </c>
      <c r="B6" s="31" t="s">
        <v>1036</v>
      </c>
      <c r="C6" s="32" t="s">
        <v>1276</v>
      </c>
      <c r="N6" s="40"/>
    </row>
    <row r="7" spans="1:14" ht="15.75" thickBot="1" x14ac:dyDescent="0.3">
      <c r="A7" s="33" t="s">
        <v>1148</v>
      </c>
      <c r="B7" s="34" t="s">
        <v>1147</v>
      </c>
      <c r="C7" s="35" t="s">
        <v>1277</v>
      </c>
    </row>
    <row r="8" spans="1:14" ht="15.75" thickBot="1" x14ac:dyDescent="0.3">
      <c r="A8" s="30" t="s">
        <v>1146</v>
      </c>
      <c r="B8" s="31" t="s">
        <v>1169</v>
      </c>
      <c r="C8" s="32" t="s">
        <v>1277</v>
      </c>
    </row>
    <row r="9" spans="1:14" ht="15.75" thickBot="1" x14ac:dyDescent="0.3">
      <c r="A9" s="33" t="s">
        <v>1144</v>
      </c>
      <c r="B9" s="34" t="s">
        <v>1170</v>
      </c>
      <c r="C9" s="35" t="s">
        <v>1277</v>
      </c>
    </row>
    <row r="10" spans="1:14" ht="15.75" thickBot="1" x14ac:dyDescent="0.3">
      <c r="A10" s="30" t="s">
        <v>1142</v>
      </c>
      <c r="B10" s="31" t="s">
        <v>1171</v>
      </c>
      <c r="C10" s="32" t="s">
        <v>1277</v>
      </c>
    </row>
    <row r="11" spans="1:14" ht="15.75" thickBot="1" x14ac:dyDescent="0.3">
      <c r="A11" s="33" t="s">
        <v>1111</v>
      </c>
      <c r="B11" s="36" t="s">
        <v>1112</v>
      </c>
      <c r="C11" s="37" t="s">
        <v>1278</v>
      </c>
    </row>
    <row r="12" spans="1:14" ht="15.75" thickBot="1" x14ac:dyDescent="0.3">
      <c r="A12" s="30" t="s">
        <v>1114</v>
      </c>
      <c r="B12" s="31" t="s">
        <v>1115</v>
      </c>
      <c r="C12" s="32" t="s">
        <v>1278</v>
      </c>
    </row>
    <row r="13" spans="1:14" ht="15.75" thickBot="1" x14ac:dyDescent="0.3">
      <c r="A13" s="33" t="s">
        <v>1116</v>
      </c>
      <c r="B13" s="34" t="s">
        <v>1117</v>
      </c>
      <c r="C13" s="35" t="s">
        <v>1278</v>
      </c>
    </row>
    <row r="14" spans="1:14" ht="15.75" thickBot="1" x14ac:dyDescent="0.3">
      <c r="A14" s="30" t="s">
        <v>1093</v>
      </c>
      <c r="B14" s="31" t="s">
        <v>1094</v>
      </c>
      <c r="C14" s="32" t="s">
        <v>1279</v>
      </c>
    </row>
    <row r="15" spans="1:14" ht="15.75" thickBot="1" x14ac:dyDescent="0.3">
      <c r="A15" s="33" t="s">
        <v>1095</v>
      </c>
      <c r="B15" s="34" t="s">
        <v>1096</v>
      </c>
      <c r="C15" s="35" t="s">
        <v>1279</v>
      </c>
    </row>
    <row r="16" spans="1:14" ht="15.75" thickBot="1" x14ac:dyDescent="0.3">
      <c r="A16" s="30" t="s">
        <v>1097</v>
      </c>
      <c r="B16" s="31" t="s">
        <v>1098</v>
      </c>
      <c r="C16" s="32" t="s">
        <v>1279</v>
      </c>
    </row>
    <row r="17" spans="1:3" ht="15.75" thickBot="1" x14ac:dyDescent="0.3">
      <c r="A17" s="33" t="s">
        <v>1099</v>
      </c>
      <c r="B17" s="34" t="s">
        <v>1100</v>
      </c>
      <c r="C17" s="35" t="s">
        <v>1279</v>
      </c>
    </row>
    <row r="18" spans="1:3" ht="15.75" thickBot="1" x14ac:dyDescent="0.3">
      <c r="A18" s="30" t="s">
        <v>1101</v>
      </c>
      <c r="B18" s="31" t="s">
        <v>1102</v>
      </c>
      <c r="C18" s="32" t="s">
        <v>1279</v>
      </c>
    </row>
    <row r="19" spans="1:3" ht="15.75" thickBot="1" x14ac:dyDescent="0.3">
      <c r="A19" s="33" t="s">
        <v>1103</v>
      </c>
      <c r="B19" s="34" t="s">
        <v>1104</v>
      </c>
      <c r="C19" s="35" t="s">
        <v>1279</v>
      </c>
    </row>
    <row r="20" spans="1:3" ht="15.75" thickBot="1" x14ac:dyDescent="0.3">
      <c r="A20" s="30" t="s">
        <v>976</v>
      </c>
      <c r="B20" s="31" t="s">
        <v>977</v>
      </c>
      <c r="C20" s="32" t="s">
        <v>1280</v>
      </c>
    </row>
    <row r="21" spans="1:3" ht="15.75" thickBot="1" x14ac:dyDescent="0.3">
      <c r="A21" s="33" t="s">
        <v>978</v>
      </c>
      <c r="B21" s="34" t="s">
        <v>979</v>
      </c>
      <c r="C21" s="35" t="s">
        <v>1280</v>
      </c>
    </row>
    <row r="22" spans="1:3" ht="15.75" thickBot="1" x14ac:dyDescent="0.3">
      <c r="A22" s="30" t="s">
        <v>1041</v>
      </c>
      <c r="B22" s="31" t="s">
        <v>1042</v>
      </c>
      <c r="C22" s="32" t="s">
        <v>1281</v>
      </c>
    </row>
    <row r="23" spans="1:3" ht="15.75" thickBot="1" x14ac:dyDescent="0.3">
      <c r="A23" s="33" t="s">
        <v>1048</v>
      </c>
      <c r="B23" s="34" t="s">
        <v>1049</v>
      </c>
      <c r="C23" s="35" t="s">
        <v>1281</v>
      </c>
    </row>
    <row r="24" spans="1:3" ht="15.75" thickBot="1" x14ac:dyDescent="0.3">
      <c r="A24" s="30" t="s">
        <v>980</v>
      </c>
      <c r="B24" s="31" t="s">
        <v>981</v>
      </c>
      <c r="C24" s="32" t="s">
        <v>1282</v>
      </c>
    </row>
    <row r="25" spans="1:3" ht="15.75" thickBot="1" x14ac:dyDescent="0.3">
      <c r="A25" s="33" t="s">
        <v>983</v>
      </c>
      <c r="B25" s="34" t="s">
        <v>984</v>
      </c>
      <c r="C25" s="35" t="s">
        <v>1282</v>
      </c>
    </row>
    <row r="26" spans="1:3" ht="15.75" thickBot="1" x14ac:dyDescent="0.3">
      <c r="A26" s="30" t="s">
        <v>1054</v>
      </c>
      <c r="B26" s="31" t="s">
        <v>1055</v>
      </c>
      <c r="C26" s="32" t="s">
        <v>1282</v>
      </c>
    </row>
    <row r="27" spans="1:3" ht="15.75" thickBot="1" x14ac:dyDescent="0.3">
      <c r="A27" s="33" t="s">
        <v>1060</v>
      </c>
      <c r="B27" s="34" t="s">
        <v>1061</v>
      </c>
      <c r="C27" s="35" t="s">
        <v>1282</v>
      </c>
    </row>
    <row r="28" spans="1:3" ht="15.75" thickBot="1" x14ac:dyDescent="0.3">
      <c r="A28" s="30" t="s">
        <v>898</v>
      </c>
      <c r="B28" s="38" t="s">
        <v>563</v>
      </c>
      <c r="C28" s="39" t="s">
        <v>424</v>
      </c>
    </row>
    <row r="29" spans="1:3" ht="15.75" thickBot="1" x14ac:dyDescent="0.3">
      <c r="A29" s="33" t="s">
        <v>899</v>
      </c>
      <c r="B29" s="36" t="s">
        <v>564</v>
      </c>
      <c r="C29" s="37" t="s">
        <v>424</v>
      </c>
    </row>
    <row r="30" spans="1:3" ht="15.75" thickBot="1" x14ac:dyDescent="0.3">
      <c r="A30" s="30" t="s">
        <v>900</v>
      </c>
      <c r="B30" s="38" t="s">
        <v>426</v>
      </c>
      <c r="C30" s="39" t="s">
        <v>424</v>
      </c>
    </row>
    <row r="31" spans="1:3" ht="15.75" thickBot="1" x14ac:dyDescent="0.3">
      <c r="A31" s="33" t="s">
        <v>901</v>
      </c>
      <c r="B31" s="36" t="s">
        <v>565</v>
      </c>
      <c r="C31" s="37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Chris</vt:lpstr>
      <vt:lpstr>Dustin</vt:lpstr>
      <vt:lpstr>Zipper 6-13</vt:lpstr>
      <vt:lpstr>Zipper 6-18</vt:lpstr>
      <vt:lpstr>Zipper 6-25</vt:lpstr>
      <vt:lpstr>Zipper 7-2</vt:lpstr>
      <vt:lpstr>Zipper 7-9</vt:lpstr>
      <vt:lpstr>Zipper 7-16</vt:lpstr>
      <vt:lpstr>Zipper 7-23</vt:lpstr>
      <vt:lpstr>Zipper 7-30</vt:lpstr>
      <vt:lpstr>Zipper 8-6</vt:lpstr>
      <vt:lpstr>Zipper 8-13</vt:lpstr>
      <vt:lpstr>Zipper 8-20</vt:lpstr>
      <vt:lpstr>Zipper 8-27</vt:lpstr>
      <vt:lpstr>Zipper 9-3</vt:lpstr>
      <vt:lpstr>Sheet1</vt:lpstr>
      <vt:lpstr>Zipper 9-17</vt:lpstr>
      <vt:lpstr>Zipper 9-24</vt:lpstr>
      <vt:lpstr>Zipper 10-1</vt:lpstr>
      <vt:lpstr>Zipper 10-9</vt:lpstr>
      <vt:lpstr>Zipper 10-15</vt:lpstr>
      <vt:lpstr>Zipper 10-22</vt:lpstr>
      <vt:lpstr>Zipper 10-29</vt:lpstr>
      <vt:lpstr>Zipper 11-5</vt:lpstr>
      <vt:lpstr>Zipper 11-12</vt:lpstr>
      <vt:lpstr>Zipper 11-19</vt:lpstr>
      <vt:lpstr>Zipper 11-26</vt:lpstr>
      <vt:lpstr>Zipper 12-3</vt:lpstr>
      <vt:lpstr>Zipper 12-18</vt:lpstr>
      <vt:lpstr>Constant Repeats</vt:lpstr>
    </vt:vector>
  </TitlesOfParts>
  <Company>Thomson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U0155443</dc:creator>
  <cp:lastModifiedBy>U0155443</cp:lastModifiedBy>
  <dcterms:created xsi:type="dcterms:W3CDTF">2013-05-29T17:59:11Z</dcterms:created>
  <dcterms:modified xsi:type="dcterms:W3CDTF">2013-12-18T18:45:40Z</dcterms:modified>
</cp:coreProperties>
</file>